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elia\Desktop\Capstone\segunda entrega\Documentacion Proyecto\"/>
    </mc:Choice>
  </mc:AlternateContent>
  <xr:revisionPtr revIDLastSave="0" documentId="13_ncr:1_{9BD96209-032F-4106-A084-BF0AD354793E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Estimado_HH" sheetId="1" r:id="rId1"/>
    <sheet name="Gastos_Operacionales" sheetId="3" r:id="rId2"/>
    <sheet name="Flujo_Caja" sheetId="4" r:id="rId3"/>
    <sheet name="VAR_TIR" sheetId="5" r:id="rId4"/>
  </sheets>
  <calcPr calcId="191029"/>
  <extLst>
    <ext uri="GoogleSheetsCustomDataVersion2">
      <go:sheetsCustomData xmlns:go="http://customooxmlschemas.google.com/" r:id="rId6" roundtripDataChecksum="LHLVWMMdlZ+CaoHbd6dJLPq4azyspcKa8621b3bbkvo="/>
    </ext>
  </extLst>
</workbook>
</file>

<file path=xl/calcChain.xml><?xml version="1.0" encoding="utf-8"?>
<calcChain xmlns="http://schemas.openxmlformats.org/spreadsheetml/2006/main">
  <c r="L4" i="1" l="1"/>
  <c r="C19" i="5"/>
  <c r="C27" i="5"/>
  <c r="C20" i="5"/>
  <c r="C28" i="5"/>
  <c r="C18" i="5"/>
  <c r="D18" i="5"/>
  <c r="E18" i="5"/>
  <c r="F18" i="5"/>
  <c r="G18" i="5"/>
  <c r="H18" i="5"/>
  <c r="B20" i="5"/>
  <c r="D20" i="5"/>
  <c r="E20" i="5"/>
  <c r="F20" i="5"/>
  <c r="G20" i="5"/>
  <c r="H20" i="5"/>
  <c r="B23" i="4"/>
  <c r="G21" i="4"/>
  <c r="H21" i="4"/>
  <c r="I21" i="4"/>
  <c r="J21" i="4"/>
  <c r="F21" i="4"/>
  <c r="F19" i="4"/>
  <c r="G18" i="4"/>
  <c r="H18" i="4"/>
  <c r="H19" i="4" s="1"/>
  <c r="I18" i="4"/>
  <c r="J18" i="4"/>
  <c r="J19" i="4" s="1"/>
  <c r="F18" i="4"/>
  <c r="G19" i="4"/>
  <c r="I19" i="4"/>
  <c r="E19" i="4"/>
  <c r="G9" i="4"/>
  <c r="H9" i="4"/>
  <c r="I9" i="4"/>
  <c r="J9" i="4"/>
  <c r="F9" i="4"/>
  <c r="F8" i="4"/>
  <c r="J7" i="4"/>
  <c r="J8" i="4" s="1"/>
  <c r="I7" i="4"/>
  <c r="I8" i="4" s="1"/>
  <c r="H7" i="4"/>
  <c r="H8" i="4" s="1"/>
  <c r="G7" i="4"/>
  <c r="G8" i="4" s="1"/>
  <c r="F7" i="4"/>
  <c r="E7" i="4"/>
  <c r="F15" i="4"/>
  <c r="J15" i="4"/>
  <c r="I15" i="4"/>
  <c r="H15" i="4"/>
  <c r="G15" i="4"/>
  <c r="E10" i="4"/>
  <c r="E22" i="4" l="1"/>
  <c r="B7" i="3"/>
  <c r="B6" i="3"/>
  <c r="B8" i="3"/>
  <c r="F45" i="1"/>
  <c r="F46" i="1" s="1"/>
  <c r="E45" i="1"/>
  <c r="E46" i="1" s="1"/>
  <c r="D45" i="1"/>
  <c r="D46" i="1" s="1"/>
  <c r="C45" i="1"/>
  <c r="C46" i="1" s="1"/>
  <c r="I16" i="1" s="1"/>
  <c r="B45" i="1"/>
  <c r="B46" i="1" s="1"/>
  <c r="F40" i="1"/>
  <c r="F41" i="1" s="1"/>
  <c r="E40" i="1"/>
  <c r="E41" i="1" s="1"/>
  <c r="D40" i="1"/>
  <c r="D41" i="1" s="1"/>
  <c r="C40" i="1"/>
  <c r="C41" i="1" s="1"/>
  <c r="B40" i="1"/>
  <c r="B41" i="1" s="1"/>
  <c r="I15" i="1" s="1"/>
  <c r="F33" i="1"/>
  <c r="F34" i="1" s="1"/>
  <c r="E33" i="1"/>
  <c r="E34" i="1" s="1"/>
  <c r="D33" i="1"/>
  <c r="D34" i="1" s="1"/>
  <c r="C33" i="1"/>
  <c r="C34" i="1" s="1"/>
  <c r="I1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I13" i="1" s="1"/>
  <c r="F15" i="1"/>
  <c r="F16" i="1" s="1"/>
  <c r="E15" i="1"/>
  <c r="E16" i="1" s="1"/>
  <c r="D15" i="1"/>
  <c r="D16" i="1" s="1"/>
  <c r="C15" i="1"/>
  <c r="C16" i="1" s="1"/>
  <c r="I12" i="1" s="1"/>
  <c r="I17" i="1" s="1"/>
  <c r="B3" i="4" s="1"/>
  <c r="B15" i="1"/>
  <c r="B16" i="1" s="1"/>
  <c r="B4" i="4" l="1"/>
  <c r="E16" i="4" s="1"/>
  <c r="B5" i="4"/>
  <c r="E17" i="4" s="1"/>
  <c r="B48" i="1"/>
  <c r="D48" i="1"/>
  <c r="L6" i="1" s="1"/>
  <c r="F48" i="1"/>
  <c r="L8" i="1" s="1"/>
  <c r="C49" i="1"/>
  <c r="K5" i="1" s="1"/>
  <c r="F49" i="1"/>
  <c r="K8" i="1" s="1"/>
  <c r="C48" i="1"/>
  <c r="L5" i="1" s="1"/>
  <c r="E48" i="1"/>
  <c r="L7" i="1" s="1"/>
  <c r="B49" i="1"/>
  <c r="K4" i="1" s="1"/>
  <c r="D49" i="1"/>
  <c r="K6" i="1" s="1"/>
  <c r="E49" i="1"/>
  <c r="K7" i="1" s="1"/>
  <c r="L9" i="1" l="1"/>
  <c r="F3" i="4" l="1"/>
  <c r="F10" i="4"/>
  <c r="F22" i="4" l="1"/>
  <c r="F20" i="4"/>
  <c r="G3" i="4"/>
  <c r="G10" i="4"/>
  <c r="G20" i="4" l="1"/>
  <c r="G22" i="4"/>
  <c r="H3" i="4" s="1"/>
  <c r="H10" i="4" s="1"/>
  <c r="H22" i="4" l="1"/>
  <c r="H20" i="4"/>
  <c r="I3" i="4"/>
  <c r="I10" i="4"/>
  <c r="I20" i="4" l="1"/>
  <c r="I22" i="4"/>
  <c r="J3" i="4" s="1"/>
  <c r="J10" i="4" s="1"/>
  <c r="J22" i="4" l="1"/>
  <c r="J20" i="4"/>
</calcChain>
</file>

<file path=xl/sharedStrings.xml><?xml version="1.0" encoding="utf-8"?>
<sst xmlns="http://schemas.openxmlformats.org/spreadsheetml/2006/main" count="164" uniqueCount="123">
  <si>
    <t>Etapas</t>
  </si>
  <si>
    <t>HORAS POR ACTIVIDAD O ENTREGABLE</t>
  </si>
  <si>
    <t>Sprint 1 | Planificación, Análisis y Diseño</t>
  </si>
  <si>
    <t>Jefe de Proyecto</t>
  </si>
  <si>
    <t>Analista Programador</t>
  </si>
  <si>
    <t>DBA</t>
  </si>
  <si>
    <t>QA</t>
  </si>
  <si>
    <t>Diseñador</t>
  </si>
  <si>
    <t>Organización del equipo</t>
  </si>
  <si>
    <t>Definicion Proyecto APT</t>
  </si>
  <si>
    <t>Documentos Individuales</t>
  </si>
  <si>
    <t>Acta de Constitución de proyecto</t>
  </si>
  <si>
    <t>Aprobación del Acta</t>
  </si>
  <si>
    <t>Definición de requerimientos Generales</t>
  </si>
  <si>
    <t>Captura de requerimientos específicos</t>
  </si>
  <si>
    <t>Documento de casos de uso extendido</t>
  </si>
  <si>
    <t>Prototipos</t>
  </si>
  <si>
    <t>Propuesta ERS</t>
  </si>
  <si>
    <t>Matriz EDT</t>
  </si>
  <si>
    <t>Documentos de Presentación de Proyecto</t>
  </si>
  <si>
    <t>Sprint 2 | Desarrollo de la aplicación móvil</t>
  </si>
  <si>
    <t>Documento de arquitectura SW</t>
  </si>
  <si>
    <t>Implementación del ambiente de desarrollo</t>
  </si>
  <si>
    <t>Creación de scripts de tablas base de datos (Firebase / Firestore o SQL)</t>
  </si>
  <si>
    <t>Creación de scripts de consultas / lógica de backend</t>
  </si>
  <si>
    <t>Desarrollo de módulos principales:</t>
  </si>
  <si>
    <t>Autenticación y gestión de usuarios</t>
  </si>
  <si>
    <t>Notificaciones</t>
  </si>
  <si>
    <t>Reportes</t>
  </si>
  <si>
    <t>Sprint 3 | Integración y pruebas del sistema</t>
  </si>
  <si>
    <t>ntegración de módulos desarrollados</t>
  </si>
  <si>
    <t>Pruebas unitarias y de integración</t>
  </si>
  <si>
    <t>Ajustes y optimización de código</t>
  </si>
  <si>
    <t>Validación de funcionalidades según requerimientos</t>
  </si>
  <si>
    <t>Sprint 4 | Certificación QA y puesta en marcha de la app</t>
  </si>
  <si>
    <t>Implementación del ambiente de pruebas</t>
  </si>
  <si>
    <t>Pruebas funcionales y de usabilidad con usuarios finales</t>
  </si>
  <si>
    <t>Corrección de errores y ajustes finales</t>
  </si>
  <si>
    <t>Migración de la app a producción (Google Play / App Store)</t>
  </si>
  <si>
    <t>Sprint 5| Presentación Final del Proyecto</t>
  </si>
  <si>
    <t>Preparación de documentación final y manuales de usuario</t>
  </si>
  <si>
    <t>Acta de cierre del proyecto</t>
  </si>
  <si>
    <t>SIGLA</t>
  </si>
  <si>
    <t>ROL</t>
  </si>
  <si>
    <t>JP</t>
  </si>
  <si>
    <t>AP</t>
  </si>
  <si>
    <t>Desarrollador BD</t>
  </si>
  <si>
    <t>Calidad Y Testing</t>
  </si>
  <si>
    <t>DI</t>
  </si>
  <si>
    <t>Horas Hombre</t>
  </si>
  <si>
    <t>Costo Por Fase</t>
  </si>
  <si>
    <t>Costo REMU. HORA HOMBRE(Por Dia)</t>
  </si>
  <si>
    <t>Suma HH</t>
  </si>
  <si>
    <t>Suma Costo Total</t>
  </si>
  <si>
    <t>COSTO TOTAL REMUNERACIONES</t>
  </si>
  <si>
    <t>SUMA TOTAL HORAS TRABAJADAS POR FASE</t>
  </si>
  <si>
    <t xml:space="preserve">DI </t>
  </si>
  <si>
    <t>Costo por Fase/Sprint</t>
  </si>
  <si>
    <t>Costo Total</t>
  </si>
  <si>
    <t>Sprint 1</t>
  </si>
  <si>
    <t>Sprint 2</t>
  </si>
  <si>
    <t>Sprint 3</t>
  </si>
  <si>
    <t>Sprint 4</t>
  </si>
  <si>
    <t>Sprint 5</t>
  </si>
  <si>
    <t>Costo Total Proyecto</t>
  </si>
  <si>
    <t>Roboflow (version free)</t>
  </si>
  <si>
    <t>Item</t>
  </si>
  <si>
    <t>Recursos Humanos</t>
  </si>
  <si>
    <t>Total Inversión</t>
  </si>
  <si>
    <t>Monto</t>
  </si>
  <si>
    <t>Contingencia (10%)</t>
  </si>
  <si>
    <t>Publicsción Android (pago unico)</t>
  </si>
  <si>
    <t>Firebase+Storage(estimación anual)</t>
  </si>
  <si>
    <t>Internet (12 meses)</t>
  </si>
  <si>
    <t>Electricidad (12 meses)</t>
  </si>
  <si>
    <t>Total / Anual</t>
  </si>
  <si>
    <t xml:space="preserve">Gastos Operacionales </t>
  </si>
  <si>
    <t>Electricidad (Estimada 1 Año)</t>
  </si>
  <si>
    <t>Internet (Estimada 1 Año)</t>
  </si>
  <si>
    <t>Publicacion Android (Pago Unico)</t>
  </si>
  <si>
    <t xml:space="preserve">ITEM </t>
  </si>
  <si>
    <t>MES 0</t>
  </si>
  <si>
    <t>AGOSTO</t>
  </si>
  <si>
    <t>OCTUBRE</t>
  </si>
  <si>
    <t>DICIEMBRE</t>
  </si>
  <si>
    <t>ARRASTRE</t>
  </si>
  <si>
    <t>PRESTAMO</t>
  </si>
  <si>
    <t>APORTE ACTIVOS</t>
  </si>
  <si>
    <t>HITO DE PAGOS</t>
  </si>
  <si>
    <t xml:space="preserve">LUZ </t>
  </si>
  <si>
    <t>INTERNET</t>
  </si>
  <si>
    <t>FLUJOS</t>
  </si>
  <si>
    <t>PUBLICACIÓN ANDROID</t>
  </si>
  <si>
    <t>SUELDOS(Sprints)</t>
  </si>
  <si>
    <t>SEPTIEMBRE</t>
  </si>
  <si>
    <t>NOVIEMBRE</t>
  </si>
  <si>
    <t>RESERVA(5%)</t>
  </si>
  <si>
    <t>CONTINGENCIA (10%)</t>
  </si>
  <si>
    <t>Ingreso Suscripciones</t>
  </si>
  <si>
    <t>Ingreso Descargas</t>
  </si>
  <si>
    <t>INGRESO TOTAL</t>
  </si>
  <si>
    <t>FIREBASE+STORAGE(mensual)</t>
  </si>
  <si>
    <t>Firebase+Storgae (Mensual)</t>
  </si>
  <si>
    <t>Concepto</t>
  </si>
  <si>
    <t>Usuarios iniciales</t>
  </si>
  <si>
    <t>Crecimiento mensual usuarios</t>
  </si>
  <si>
    <t>Tasa conversión a suscripción</t>
  </si>
  <si>
    <t>Precio suscripción mensual</t>
  </si>
  <si>
    <t>Descargas mensuales</t>
  </si>
  <si>
    <t>Impuesto (%)</t>
  </si>
  <si>
    <t>Ingreso por descarga (CLP)</t>
  </si>
  <si>
    <t>Tasa descuento anual (Para VAN)</t>
  </si>
  <si>
    <t>vida util amortización (meses)</t>
  </si>
  <si>
    <t>Tasa descuento mensual</t>
  </si>
  <si>
    <t>Usuario Estimado</t>
  </si>
  <si>
    <t>AMORTIZACIÓN (Mensual)</t>
  </si>
  <si>
    <t>EGRESOS Totales</t>
  </si>
  <si>
    <t>Utilidad antes impuestos</t>
  </si>
  <si>
    <t>Impuesto (25%)</t>
  </si>
  <si>
    <t>VAN</t>
  </si>
  <si>
    <t>TIR</t>
  </si>
  <si>
    <t>Inversion inicial</t>
  </si>
  <si>
    <t xml:space="preserve">Tasa descuento anual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</si>
</sst>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#,##0"/>
    <numFmt numFmtId="165" formatCode="_-&quot;$&quot;\ * #,##0_-;\-&quot;$&quot;\ * #,##0_-;_-&quot;$&quot;\ * &quot;-&quot;??_-;_-@_-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59999389629810485"/>
        <bgColor rgb="FFBFBFB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6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0" fontId="0" fillId="0" borderId="3" xfId="0" applyBorder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vertical="top"/>
    </xf>
    <xf numFmtId="0" fontId="4" fillId="0" borderId="0" xfId="0" applyFont="1"/>
    <xf numFmtId="0" fontId="8" fillId="5" borderId="3" xfId="0" applyFont="1" applyFill="1" applyBorder="1" applyAlignment="1">
      <alignment horizontal="center"/>
    </xf>
    <xf numFmtId="0" fontId="3" fillId="0" borderId="3" xfId="0" applyFont="1" applyBorder="1"/>
    <xf numFmtId="0" fontId="2" fillId="0" borderId="0" xfId="0" applyFont="1"/>
    <xf numFmtId="0" fontId="2" fillId="0" borderId="3" xfId="0" applyFont="1" applyBorder="1"/>
    <xf numFmtId="0" fontId="7" fillId="6" borderId="3" xfId="0" applyFont="1" applyFill="1" applyBorder="1"/>
    <xf numFmtId="0" fontId="7" fillId="0" borderId="3" xfId="0" applyFont="1" applyBorder="1"/>
    <xf numFmtId="42" fontId="0" fillId="0" borderId="3" xfId="2" applyFont="1" applyBorder="1"/>
    <xf numFmtId="42" fontId="8" fillId="3" borderId="1" xfId="0" applyNumberFormat="1" applyFont="1" applyFill="1" applyBorder="1"/>
    <xf numFmtId="42" fontId="8" fillId="3" borderId="1" xfId="0" applyNumberFormat="1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left" vertical="center"/>
    </xf>
    <xf numFmtId="0" fontId="7" fillId="3" borderId="3" xfId="0" applyFont="1" applyFill="1" applyBorder="1"/>
    <xf numFmtId="42" fontId="7" fillId="3" borderId="5" xfId="0" applyNumberFormat="1" applyFont="1" applyFill="1" applyBorder="1"/>
    <xf numFmtId="42" fontId="7" fillId="7" borderId="3" xfId="0" applyNumberFormat="1" applyFont="1" applyFill="1" applyBorder="1"/>
    <xf numFmtId="0" fontId="7" fillId="7" borderId="3" xfId="0" applyFont="1" applyFill="1" applyBorder="1"/>
    <xf numFmtId="42" fontId="7" fillId="8" borderId="5" xfId="0" applyNumberFormat="1" applyFont="1" applyFill="1" applyBorder="1" applyAlignment="1">
      <alignment horizontal="center"/>
    </xf>
    <xf numFmtId="164" fontId="7" fillId="7" borderId="3" xfId="2" applyNumberFormat="1" applyFont="1" applyFill="1" applyBorder="1"/>
    <xf numFmtId="42" fontId="0" fillId="0" borderId="0" xfId="0" applyNumberFormat="1"/>
    <xf numFmtId="42" fontId="0" fillId="0" borderId="3" xfId="0" applyNumberFormat="1" applyBorder="1"/>
    <xf numFmtId="164" fontId="0" fillId="0" borderId="3" xfId="0" applyNumberFormat="1" applyBorder="1"/>
    <xf numFmtId="0" fontId="7" fillId="6" borderId="6" xfId="0" applyFont="1" applyFill="1" applyBorder="1"/>
    <xf numFmtId="164" fontId="0" fillId="0" borderId="3" xfId="2" applyNumberFormat="1" applyFont="1" applyBorder="1"/>
    <xf numFmtId="0" fontId="7" fillId="0" borderId="0" xfId="0" applyFont="1"/>
    <xf numFmtId="42" fontId="0" fillId="0" borderId="0" xfId="2" applyFont="1" applyFill="1" applyBorder="1"/>
    <xf numFmtId="42" fontId="7" fillId="0" borderId="0" xfId="2" applyFont="1" applyFill="1" applyBorder="1"/>
    <xf numFmtId="42" fontId="3" fillId="0" borderId="3" xfId="0" applyNumberFormat="1" applyFont="1" applyBorder="1"/>
    <xf numFmtId="0" fontId="8" fillId="4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/>
    </xf>
    <xf numFmtId="0" fontId="7" fillId="8" borderId="3" xfId="0" applyFont="1" applyFill="1" applyBorder="1"/>
    <xf numFmtId="42" fontId="7" fillId="8" borderId="3" xfId="0" applyNumberFormat="1" applyFont="1" applyFill="1" applyBorder="1"/>
    <xf numFmtId="6" fontId="0" fillId="0" borderId="0" xfId="0" applyNumberFormat="1"/>
    <xf numFmtId="6" fontId="0" fillId="0" borderId="3" xfId="0" applyNumberFormat="1" applyBorder="1"/>
    <xf numFmtId="6" fontId="7" fillId="8" borderId="3" xfId="0" applyNumberFormat="1" applyFont="1" applyFill="1" applyBorder="1"/>
    <xf numFmtId="0" fontId="0" fillId="8" borderId="3" xfId="0" applyFill="1" applyBorder="1"/>
    <xf numFmtId="6" fontId="2" fillId="0" borderId="3" xfId="0" applyNumberFormat="1" applyFont="1" applyBorder="1"/>
    <xf numFmtId="165" fontId="0" fillId="0" borderId="3" xfId="1" applyNumberFormat="1" applyFont="1" applyBorder="1"/>
    <xf numFmtId="44" fontId="0" fillId="0" borderId="3" xfId="1" applyFont="1" applyFill="1" applyBorder="1"/>
    <xf numFmtId="165" fontId="0" fillId="0" borderId="3" xfId="0" applyNumberFormat="1" applyBorder="1"/>
    <xf numFmtId="165" fontId="0" fillId="0" borderId="3" xfId="1" applyNumberFormat="1" applyFont="1" applyFill="1" applyBorder="1"/>
    <xf numFmtId="165" fontId="0" fillId="0" borderId="3" xfId="1" applyNumberFormat="1" applyFont="1" applyBorder="1" applyAlignment="1"/>
    <xf numFmtId="0" fontId="5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/>
    <xf numFmtId="0" fontId="7" fillId="8" borderId="6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3" fillId="0" borderId="6" xfId="0" applyFont="1" applyBorder="1"/>
    <xf numFmtId="0" fontId="0" fillId="0" borderId="7" xfId="0" applyBorder="1"/>
    <xf numFmtId="0" fontId="8" fillId="5" borderId="5" xfId="0" applyFont="1" applyFill="1" applyBorder="1" applyAlignment="1">
      <alignment horizontal="center" wrapText="1"/>
    </xf>
    <xf numFmtId="6" fontId="1" fillId="0" borderId="3" xfId="0" applyNumberFormat="1" applyFont="1" applyBorder="1" applyAlignment="1">
      <alignment horizontal="right" wrapText="1"/>
    </xf>
    <xf numFmtId="0" fontId="1" fillId="0" borderId="0" xfId="0" applyFont="1"/>
    <xf numFmtId="0" fontId="1" fillId="0" borderId="3" xfId="0" applyFont="1" applyBorder="1"/>
    <xf numFmtId="165" fontId="2" fillId="0" borderId="3" xfId="2" applyNumberFormat="1" applyFont="1" applyBorder="1" applyAlignment="1"/>
    <xf numFmtId="0" fontId="1" fillId="8" borderId="3" xfId="0" applyFont="1" applyFill="1" applyBorder="1"/>
    <xf numFmtId="0" fontId="0" fillId="0" borderId="3" xfId="1" applyNumberFormat="1" applyFont="1" applyBorder="1"/>
    <xf numFmtId="42" fontId="0" fillId="0" borderId="0" xfId="2" applyFont="1"/>
    <xf numFmtId="0" fontId="7" fillId="8" borderId="5" xfId="0" applyFont="1" applyFill="1" applyBorder="1"/>
    <xf numFmtId="42" fontId="0" fillId="8" borderId="5" xfId="0" applyNumberFormat="1" applyFill="1" applyBorder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/>
    </xf>
    <xf numFmtId="9" fontId="0" fillId="0" borderId="3" xfId="3" applyFont="1" applyBorder="1"/>
    <xf numFmtId="0" fontId="0" fillId="0" borderId="3" xfId="3" applyNumberFormat="1" applyFont="1" applyBorder="1"/>
    <xf numFmtId="165" fontId="7" fillId="8" borderId="3" xfId="1" applyNumberFormat="1" applyFont="1" applyFill="1" applyBorder="1"/>
    <xf numFmtId="0" fontId="7" fillId="0" borderId="3" xfId="0" applyFont="1" applyFill="1" applyBorder="1"/>
    <xf numFmtId="0" fontId="1" fillId="0" borderId="3" xfId="0" applyFont="1" applyFill="1" applyBorder="1"/>
    <xf numFmtId="1" fontId="0" fillId="0" borderId="3" xfId="1" applyNumberFormat="1" applyFont="1" applyBorder="1"/>
    <xf numFmtId="42" fontId="0" fillId="0" borderId="3" xfId="3" applyNumberFormat="1" applyFont="1" applyBorder="1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Fill="1" applyBorder="1"/>
    <xf numFmtId="9" fontId="0" fillId="0" borderId="0" xfId="0" applyNumberFormat="1"/>
    <xf numFmtId="9" fontId="0" fillId="0" borderId="3" xfId="0" applyNumberFormat="1" applyBorder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">
    <cellStyle name="Moneda" xfId="1" builtinId="4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9"/>
  <sheetViews>
    <sheetView tabSelected="1" topLeftCell="H1" zoomScale="90" zoomScaleNormal="90" workbookViewId="0">
      <selection activeCell="K18" sqref="K18"/>
    </sheetView>
  </sheetViews>
  <sheetFormatPr baseColWidth="10" defaultColWidth="14.42578125" defaultRowHeight="15" customHeight="1"/>
  <cols>
    <col min="1" max="1" width="64.42578125" customWidth="1"/>
    <col min="2" max="2" width="10.28515625" bestFit="1" customWidth="1"/>
    <col min="3" max="3" width="11.85546875" bestFit="1" customWidth="1"/>
    <col min="4" max="6" width="10.28515625" bestFit="1" customWidth="1"/>
    <col min="7" max="7" width="10.7109375" customWidth="1"/>
    <col min="8" max="8" width="20.140625" bestFit="1" customWidth="1"/>
    <col min="9" max="9" width="20.28515625" customWidth="1"/>
    <col min="10" max="10" width="20.7109375" customWidth="1"/>
    <col min="11" max="11" width="11" bestFit="1" customWidth="1"/>
    <col min="12" max="12" width="16.28515625" bestFit="1" customWidth="1"/>
    <col min="13" max="25" width="10.7109375" customWidth="1"/>
  </cols>
  <sheetData>
    <row r="1" spans="1:12" ht="14.25" customHeight="1">
      <c r="A1" s="62" t="s">
        <v>0</v>
      </c>
      <c r="B1" s="63" t="s">
        <v>1</v>
      </c>
      <c r="C1" s="64"/>
      <c r="D1" s="64"/>
      <c r="E1" s="64"/>
      <c r="F1" s="64"/>
    </row>
    <row r="2" spans="1:12" ht="14.25" customHeight="1">
      <c r="A2" s="59" t="s">
        <v>2</v>
      </c>
      <c r="B2" s="60" t="s">
        <v>44</v>
      </c>
      <c r="C2" s="60" t="s">
        <v>45</v>
      </c>
      <c r="D2" s="61" t="s">
        <v>5</v>
      </c>
      <c r="E2" s="61" t="s">
        <v>6</v>
      </c>
      <c r="F2" s="60" t="s">
        <v>56</v>
      </c>
      <c r="H2" s="5"/>
      <c r="I2" s="16"/>
    </row>
    <row r="3" spans="1:12" ht="14.25" customHeight="1">
      <c r="A3" s="1" t="s">
        <v>8</v>
      </c>
      <c r="B3" s="3">
        <v>4</v>
      </c>
      <c r="C3" s="3">
        <v>0</v>
      </c>
      <c r="D3" s="3">
        <v>0</v>
      </c>
      <c r="E3" s="3">
        <v>0</v>
      </c>
      <c r="F3" s="3">
        <v>0</v>
      </c>
      <c r="H3" s="17" t="s">
        <v>42</v>
      </c>
      <c r="I3" s="17" t="s">
        <v>43</v>
      </c>
      <c r="J3" s="69" t="s">
        <v>51</v>
      </c>
      <c r="K3" s="39" t="s">
        <v>52</v>
      </c>
      <c r="L3" s="21" t="s">
        <v>53</v>
      </c>
    </row>
    <row r="4" spans="1:12" ht="14.25" customHeight="1">
      <c r="A4" s="1" t="s">
        <v>9</v>
      </c>
      <c r="B4" s="3">
        <v>6</v>
      </c>
      <c r="C4" s="3">
        <v>2</v>
      </c>
      <c r="D4" s="3">
        <v>0</v>
      </c>
      <c r="E4" s="3">
        <v>0</v>
      </c>
      <c r="F4" s="3">
        <v>0</v>
      </c>
      <c r="H4" s="18" t="s">
        <v>44</v>
      </c>
      <c r="I4" s="67" t="s">
        <v>3</v>
      </c>
      <c r="J4" s="70">
        <v>14339</v>
      </c>
      <c r="K4" s="68">
        <f>B49</f>
        <v>40</v>
      </c>
      <c r="L4" s="37">
        <f>J4*K4</f>
        <v>573560</v>
      </c>
    </row>
    <row r="5" spans="1:12" ht="14.25" customHeight="1">
      <c r="A5" s="1" t="s">
        <v>10</v>
      </c>
      <c r="B5" s="3">
        <v>0</v>
      </c>
      <c r="C5" s="3">
        <v>4</v>
      </c>
      <c r="D5" s="3">
        <v>0</v>
      </c>
      <c r="E5" s="3">
        <v>0</v>
      </c>
      <c r="F5" s="3">
        <v>2</v>
      </c>
      <c r="H5" s="18" t="s">
        <v>45</v>
      </c>
      <c r="I5" s="67" t="s">
        <v>4</v>
      </c>
      <c r="J5" s="70">
        <v>6828</v>
      </c>
      <c r="K5" s="68">
        <f>C49</f>
        <v>100</v>
      </c>
      <c r="L5" s="37">
        <f>C48</f>
        <v>682800</v>
      </c>
    </row>
    <row r="6" spans="1:12" ht="14.25" customHeight="1">
      <c r="A6" s="1" t="s">
        <v>11</v>
      </c>
      <c r="B6" s="3">
        <v>4</v>
      </c>
      <c r="C6" s="3">
        <v>2</v>
      </c>
      <c r="D6" s="3">
        <v>0</v>
      </c>
      <c r="E6" s="3">
        <v>0</v>
      </c>
      <c r="F6" s="3">
        <v>0</v>
      </c>
      <c r="H6" s="18" t="s">
        <v>5</v>
      </c>
      <c r="I6" s="67" t="s">
        <v>46</v>
      </c>
      <c r="J6" s="70">
        <v>6875</v>
      </c>
      <c r="K6" s="68">
        <f>D49</f>
        <v>14</v>
      </c>
      <c r="L6" s="38">
        <f>D48</f>
        <v>96250</v>
      </c>
    </row>
    <row r="7" spans="1:12" ht="14.25" customHeight="1">
      <c r="A7" s="1" t="s">
        <v>12</v>
      </c>
      <c r="B7" s="3">
        <v>2</v>
      </c>
      <c r="C7" s="3">
        <v>0</v>
      </c>
      <c r="D7" s="3">
        <v>0</v>
      </c>
      <c r="E7" s="3">
        <v>0</v>
      </c>
      <c r="F7" s="3">
        <v>0</v>
      </c>
      <c r="H7" s="18" t="s">
        <v>6</v>
      </c>
      <c r="I7" s="67" t="s">
        <v>47</v>
      </c>
      <c r="J7" s="70">
        <v>9125</v>
      </c>
      <c r="K7" s="68">
        <f>E49</f>
        <v>22</v>
      </c>
      <c r="L7" s="38">
        <f>E48</f>
        <v>200750</v>
      </c>
    </row>
    <row r="8" spans="1:12" ht="14.25" customHeight="1">
      <c r="A8" s="1" t="s">
        <v>13</v>
      </c>
      <c r="B8" s="3">
        <v>2</v>
      </c>
      <c r="C8" s="3">
        <v>6</v>
      </c>
      <c r="D8" s="3">
        <v>0</v>
      </c>
      <c r="E8" s="3">
        <v>0</v>
      </c>
      <c r="F8" s="3">
        <v>2</v>
      </c>
      <c r="H8" s="18" t="s">
        <v>48</v>
      </c>
      <c r="I8" s="67" t="s">
        <v>7</v>
      </c>
      <c r="J8" s="70">
        <v>2835</v>
      </c>
      <c r="K8" s="68">
        <f>F49</f>
        <v>48</v>
      </c>
      <c r="L8" s="38">
        <f>F48</f>
        <v>136080</v>
      </c>
    </row>
    <row r="9" spans="1:12" ht="14.25" customHeight="1">
      <c r="A9" s="1" t="s">
        <v>14</v>
      </c>
      <c r="B9" s="3">
        <v>0</v>
      </c>
      <c r="C9" s="3">
        <v>6</v>
      </c>
      <c r="D9" s="3">
        <v>0</v>
      </c>
      <c r="E9" s="3">
        <v>0</v>
      </c>
      <c r="F9" s="3">
        <v>2</v>
      </c>
      <c r="L9" s="40">
        <f>SUM(L4:L8)</f>
        <v>1689440</v>
      </c>
    </row>
    <row r="10" spans="1:12" ht="14.25" customHeight="1">
      <c r="A10" s="1" t="s">
        <v>15</v>
      </c>
      <c r="B10" s="3">
        <v>2</v>
      </c>
      <c r="C10" s="3">
        <v>6</v>
      </c>
      <c r="D10" s="3">
        <v>0</v>
      </c>
      <c r="E10" s="3">
        <v>0</v>
      </c>
      <c r="F10" s="3">
        <v>2</v>
      </c>
    </row>
    <row r="11" spans="1:12" ht="14.25" customHeight="1">
      <c r="A11" s="1" t="s">
        <v>16</v>
      </c>
      <c r="B11" s="3">
        <v>0</v>
      </c>
      <c r="C11" s="3">
        <v>0</v>
      </c>
      <c r="D11" s="3">
        <v>0</v>
      </c>
      <c r="E11" s="3">
        <v>0</v>
      </c>
      <c r="F11" s="3">
        <v>6</v>
      </c>
      <c r="H11" s="47" t="s">
        <v>57</v>
      </c>
      <c r="I11" s="46" t="s">
        <v>58</v>
      </c>
      <c r="J11" s="41"/>
    </row>
    <row r="12" spans="1:12" ht="14.25" customHeight="1">
      <c r="A12" s="1" t="s">
        <v>17</v>
      </c>
      <c r="B12" s="3">
        <v>2</v>
      </c>
      <c r="C12" s="3">
        <v>4</v>
      </c>
      <c r="D12" s="3">
        <v>0</v>
      </c>
      <c r="E12" s="3">
        <v>0</v>
      </c>
      <c r="F12" s="3">
        <v>2</v>
      </c>
      <c r="H12" s="20" t="s">
        <v>59</v>
      </c>
      <c r="I12" s="44">
        <f>SUM(B16:F16)</f>
        <v>627318</v>
      </c>
      <c r="J12" s="42"/>
    </row>
    <row r="13" spans="1:12" ht="14.25" customHeight="1">
      <c r="A13" s="1" t="s">
        <v>18</v>
      </c>
      <c r="B13" s="3">
        <v>2</v>
      </c>
      <c r="C13" s="3">
        <v>0</v>
      </c>
      <c r="D13" s="3">
        <v>0</v>
      </c>
      <c r="E13" s="3">
        <v>0</v>
      </c>
      <c r="F13" s="3">
        <v>0</v>
      </c>
      <c r="H13" s="20" t="s">
        <v>60</v>
      </c>
      <c r="I13" s="44">
        <f>SUM(B27:F27)</f>
        <v>403524</v>
      </c>
      <c r="J13" s="42"/>
    </row>
    <row r="14" spans="1:12" ht="14.25" customHeight="1">
      <c r="A14" s="1" t="s">
        <v>19</v>
      </c>
      <c r="B14" s="3">
        <v>0</v>
      </c>
      <c r="C14" s="3">
        <v>4</v>
      </c>
      <c r="D14" s="3">
        <v>0</v>
      </c>
      <c r="E14" s="3">
        <v>0</v>
      </c>
      <c r="F14" s="3">
        <v>2</v>
      </c>
      <c r="H14" s="20" t="s">
        <v>61</v>
      </c>
      <c r="I14" s="44">
        <f>SUM(B34:F34)</f>
        <v>263618</v>
      </c>
      <c r="J14" s="42"/>
    </row>
    <row r="15" spans="1:12" ht="14.25" customHeight="1">
      <c r="A15" s="9" t="s">
        <v>49</v>
      </c>
      <c r="B15" s="10">
        <f>SUM(B3:B14)</f>
        <v>24</v>
      </c>
      <c r="C15" s="10">
        <f>SUM(C3:C14)</f>
        <v>34</v>
      </c>
      <c r="D15" s="10">
        <f>SUM(D3:D14)</f>
        <v>0</v>
      </c>
      <c r="E15" s="10">
        <f>SUM(E3:E14)</f>
        <v>0</v>
      </c>
      <c r="F15" s="10">
        <f>SUM(F3:F14)</f>
        <v>18</v>
      </c>
      <c r="H15" s="20" t="s">
        <v>62</v>
      </c>
      <c r="I15" s="44">
        <f>SUM(B41:F41)</f>
        <v>308324</v>
      </c>
      <c r="J15" s="42"/>
    </row>
    <row r="16" spans="1:12" ht="14.25" customHeight="1">
      <c r="A16" s="9" t="s">
        <v>50</v>
      </c>
      <c r="B16" s="24">
        <f>B15*J4</f>
        <v>344136</v>
      </c>
      <c r="C16" s="24">
        <f>C15*J5</f>
        <v>232152</v>
      </c>
      <c r="D16" s="24">
        <f>D15*J6</f>
        <v>0</v>
      </c>
      <c r="E16" s="24">
        <f>E15*J7</f>
        <v>0</v>
      </c>
      <c r="F16" s="24">
        <f>F15*J8</f>
        <v>51030</v>
      </c>
      <c r="H16" s="20" t="s">
        <v>63</v>
      </c>
      <c r="I16" s="44">
        <f>SUM(B46:F46)</f>
        <v>86656</v>
      </c>
      <c r="J16" s="42"/>
    </row>
    <row r="17" spans="1:25" ht="14.25" customHeight="1">
      <c r="A17" s="13" t="s">
        <v>20</v>
      </c>
      <c r="B17" s="28" t="s">
        <v>44</v>
      </c>
      <c r="C17" s="28" t="s">
        <v>45</v>
      </c>
      <c r="D17" s="12" t="s">
        <v>5</v>
      </c>
      <c r="E17" s="12" t="s">
        <v>6</v>
      </c>
      <c r="F17" s="28" t="s">
        <v>48</v>
      </c>
      <c r="H17" s="45" t="s">
        <v>64</v>
      </c>
      <c r="I17" s="48">
        <f>SUM(I12:I16)</f>
        <v>1689440</v>
      </c>
      <c r="J17" s="43"/>
    </row>
    <row r="18" spans="1:25" ht="14.25" customHeight="1">
      <c r="A18" s="2" t="s">
        <v>21</v>
      </c>
      <c r="B18" s="3">
        <v>2</v>
      </c>
      <c r="C18" s="3">
        <v>6</v>
      </c>
      <c r="D18" s="3">
        <v>0</v>
      </c>
      <c r="E18" s="3">
        <v>0</v>
      </c>
      <c r="F18" s="3">
        <v>2</v>
      </c>
    </row>
    <row r="19" spans="1:25" ht="14.25" customHeight="1">
      <c r="A19" s="2" t="s">
        <v>22</v>
      </c>
      <c r="B19" s="3">
        <v>2</v>
      </c>
      <c r="C19" s="3">
        <v>6</v>
      </c>
      <c r="D19" s="3">
        <v>2</v>
      </c>
      <c r="E19" s="3">
        <v>0</v>
      </c>
      <c r="F19" s="3">
        <v>2</v>
      </c>
    </row>
    <row r="20" spans="1:25" ht="14.25" customHeight="1">
      <c r="A20" s="2" t="s">
        <v>23</v>
      </c>
      <c r="B20" s="3">
        <v>0</v>
      </c>
      <c r="C20" s="3">
        <v>2</v>
      </c>
      <c r="D20" s="3">
        <v>4</v>
      </c>
      <c r="E20" s="3">
        <v>0</v>
      </c>
      <c r="F20" s="3">
        <v>0</v>
      </c>
    </row>
    <row r="21" spans="1:25" ht="14.25" customHeight="1">
      <c r="A21" s="2" t="s">
        <v>24</v>
      </c>
      <c r="B21" s="3">
        <v>0</v>
      </c>
      <c r="C21" s="3">
        <v>4</v>
      </c>
      <c r="D21" s="3">
        <v>2</v>
      </c>
      <c r="E21" s="3">
        <v>0</v>
      </c>
      <c r="F21" s="3">
        <v>0</v>
      </c>
    </row>
    <row r="22" spans="1:25" ht="14.25" customHeight="1">
      <c r="A22" s="2" t="s">
        <v>25</v>
      </c>
      <c r="B22" s="3">
        <v>0</v>
      </c>
      <c r="C22" s="3">
        <v>6</v>
      </c>
      <c r="D22" s="3">
        <v>0</v>
      </c>
      <c r="E22" s="3">
        <v>0</v>
      </c>
      <c r="F22" s="3">
        <v>4</v>
      </c>
    </row>
    <row r="23" spans="1:25" ht="14.25" customHeight="1">
      <c r="A23" s="4" t="s">
        <v>26</v>
      </c>
      <c r="B23" s="3">
        <v>0</v>
      </c>
      <c r="C23" s="3">
        <v>6</v>
      </c>
      <c r="D23" s="3">
        <v>0</v>
      </c>
      <c r="E23" s="3">
        <v>0</v>
      </c>
      <c r="F23" s="3">
        <v>4</v>
      </c>
    </row>
    <row r="24" spans="1:25" ht="14.25" customHeight="1">
      <c r="A24" s="4" t="s">
        <v>27</v>
      </c>
      <c r="B24" s="3">
        <v>0</v>
      </c>
      <c r="C24" s="3">
        <v>6</v>
      </c>
      <c r="D24" s="3">
        <v>0</v>
      </c>
      <c r="E24" s="3">
        <v>0</v>
      </c>
      <c r="F24" s="3">
        <v>4</v>
      </c>
    </row>
    <row r="25" spans="1:25" ht="14.25" customHeight="1">
      <c r="A25" s="4" t="s">
        <v>28</v>
      </c>
      <c r="B25" s="2"/>
      <c r="C25" s="2"/>
      <c r="D25" s="2"/>
      <c r="E25" s="2"/>
      <c r="F25" s="2"/>
    </row>
    <row r="26" spans="1:25" ht="14.25" customHeight="1">
      <c r="A26" s="9" t="s">
        <v>49</v>
      </c>
      <c r="B26" s="10">
        <f>SUM(B18:B25)</f>
        <v>4</v>
      </c>
      <c r="C26" s="10">
        <f>SUM(C18:C25)</f>
        <v>36</v>
      </c>
      <c r="D26" s="10">
        <f>SUM(D18:D25)</f>
        <v>8</v>
      </c>
      <c r="E26" s="10">
        <f>SUM(E18:E25)</f>
        <v>0</v>
      </c>
      <c r="F26" s="10">
        <f>SUM(F18:F25)</f>
        <v>16</v>
      </c>
    </row>
    <row r="27" spans="1:25" ht="14.25" customHeight="1">
      <c r="A27" s="9" t="s">
        <v>50</v>
      </c>
      <c r="B27" s="24">
        <f>B26*J4</f>
        <v>57356</v>
      </c>
      <c r="C27" s="24">
        <f>C26*J5</f>
        <v>245808</v>
      </c>
      <c r="D27" s="24">
        <f>D26*J6</f>
        <v>55000</v>
      </c>
      <c r="E27" s="24">
        <f>E26*J7</f>
        <v>0</v>
      </c>
      <c r="F27" s="24">
        <f>F26*J8</f>
        <v>45360</v>
      </c>
    </row>
    <row r="28" spans="1:25" ht="14.25" customHeight="1">
      <c r="A28" s="14" t="s">
        <v>29</v>
      </c>
      <c r="B28" s="28" t="s">
        <v>44</v>
      </c>
      <c r="C28" s="28" t="s">
        <v>45</v>
      </c>
      <c r="D28" s="12" t="s">
        <v>5</v>
      </c>
      <c r="E28" s="12" t="s">
        <v>6</v>
      </c>
      <c r="F28" s="28" t="s">
        <v>48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4.25" customHeight="1">
      <c r="A29" s="2" t="s">
        <v>30</v>
      </c>
      <c r="B29" s="3">
        <v>2</v>
      </c>
      <c r="C29" s="3">
        <v>6</v>
      </c>
      <c r="D29" s="3">
        <v>2</v>
      </c>
      <c r="E29" s="3">
        <v>0</v>
      </c>
      <c r="F29" s="3">
        <v>2</v>
      </c>
    </row>
    <row r="30" spans="1:25" ht="14.25" customHeight="1">
      <c r="A30" s="2" t="s">
        <v>31</v>
      </c>
      <c r="B30" s="3">
        <v>0</v>
      </c>
      <c r="C30" s="3">
        <v>2</v>
      </c>
      <c r="D30" s="3">
        <v>0</v>
      </c>
      <c r="E30" s="3">
        <v>6</v>
      </c>
      <c r="F30" s="3">
        <v>0</v>
      </c>
    </row>
    <row r="31" spans="1:25" ht="14.25" customHeight="1">
      <c r="A31" s="2" t="s">
        <v>32</v>
      </c>
      <c r="B31" s="3">
        <v>0</v>
      </c>
      <c r="C31" s="3">
        <v>4</v>
      </c>
      <c r="D31" s="3">
        <v>0</v>
      </c>
      <c r="E31" s="3">
        <v>2</v>
      </c>
      <c r="F31" s="3">
        <v>0</v>
      </c>
    </row>
    <row r="32" spans="1:25" ht="14.25" customHeight="1">
      <c r="A32" s="2" t="s">
        <v>33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</row>
    <row r="33" spans="1:25" ht="14.25" customHeight="1">
      <c r="A33" s="9" t="s">
        <v>49</v>
      </c>
      <c r="B33" s="11">
        <f>SUM(B29:B32)</f>
        <v>4</v>
      </c>
      <c r="C33" s="11">
        <f>SUM(C29:C32)</f>
        <v>14</v>
      </c>
      <c r="D33" s="11">
        <f>SUM(D29:D32)</f>
        <v>2</v>
      </c>
      <c r="E33" s="11">
        <f>SUM(E29:E32)</f>
        <v>10</v>
      </c>
      <c r="F33" s="11">
        <f>SUM(F29:F32)</f>
        <v>2</v>
      </c>
    </row>
    <row r="34" spans="1:25" ht="14.25" customHeight="1">
      <c r="A34" s="9" t="s">
        <v>50</v>
      </c>
      <c r="B34" s="25">
        <f>B33*J4</f>
        <v>57356</v>
      </c>
      <c r="C34" s="25">
        <f>C33*J5</f>
        <v>95592</v>
      </c>
      <c r="D34" s="25">
        <f>D33*J6</f>
        <v>13750</v>
      </c>
      <c r="E34" s="25">
        <f>E33*J7</f>
        <v>91250</v>
      </c>
      <c r="F34" s="25">
        <f>F33*J8</f>
        <v>5670</v>
      </c>
    </row>
    <row r="35" spans="1:25" ht="14.25" customHeight="1">
      <c r="A35" s="15" t="s">
        <v>34</v>
      </c>
      <c r="B35" s="28" t="s">
        <v>44</v>
      </c>
      <c r="C35" s="28" t="s">
        <v>45</v>
      </c>
      <c r="D35" s="12" t="s">
        <v>5</v>
      </c>
      <c r="E35" s="12" t="s">
        <v>6</v>
      </c>
      <c r="F35" s="28" t="s">
        <v>56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4.25" customHeight="1">
      <c r="A36" s="2" t="s">
        <v>35</v>
      </c>
      <c r="B36" s="3">
        <v>2</v>
      </c>
      <c r="C36" s="3">
        <v>2</v>
      </c>
      <c r="D36" s="3">
        <v>2</v>
      </c>
      <c r="E36" s="3">
        <v>2</v>
      </c>
      <c r="F36" s="3">
        <v>0</v>
      </c>
    </row>
    <row r="37" spans="1:25" ht="14.25" customHeight="1">
      <c r="A37" s="2" t="s">
        <v>36</v>
      </c>
      <c r="B37" s="3">
        <v>0</v>
      </c>
      <c r="C37" s="3">
        <v>2</v>
      </c>
      <c r="D37" s="3">
        <v>0</v>
      </c>
      <c r="E37" s="3">
        <v>6</v>
      </c>
      <c r="F37" s="3">
        <v>2</v>
      </c>
    </row>
    <row r="38" spans="1:25" ht="14.25" customHeight="1">
      <c r="A38" s="2" t="s">
        <v>37</v>
      </c>
      <c r="B38" s="3">
        <v>2</v>
      </c>
      <c r="C38" s="3">
        <v>4</v>
      </c>
      <c r="D38" s="3">
        <v>0</v>
      </c>
      <c r="E38" s="3">
        <v>4</v>
      </c>
      <c r="F38" s="3">
        <v>2</v>
      </c>
    </row>
    <row r="39" spans="1:25" ht="14.25" customHeight="1">
      <c r="A39" s="2" t="s">
        <v>38</v>
      </c>
      <c r="B39" s="3">
        <v>2</v>
      </c>
      <c r="C39" s="3">
        <v>2</v>
      </c>
      <c r="D39" s="3">
        <v>2</v>
      </c>
      <c r="E39" s="3">
        <v>0</v>
      </c>
      <c r="F39" s="3">
        <v>2</v>
      </c>
    </row>
    <row r="40" spans="1:25" ht="14.25" customHeight="1">
      <c r="A40" s="9" t="s">
        <v>49</v>
      </c>
      <c r="B40" s="11">
        <f>SUM(B36:B39)</f>
        <v>6</v>
      </c>
      <c r="C40" s="11">
        <f>SUM(C36:C39)</f>
        <v>10</v>
      </c>
      <c r="D40" s="11">
        <f>SUM(D36:D39)</f>
        <v>4</v>
      </c>
      <c r="E40" s="11">
        <f>SUM(E36:E39)</f>
        <v>12</v>
      </c>
      <c r="F40" s="11">
        <f>SUM(F36:F39)</f>
        <v>6</v>
      </c>
    </row>
    <row r="41" spans="1:25" ht="14.25" customHeight="1">
      <c r="A41" s="9" t="s">
        <v>50</v>
      </c>
      <c r="B41" s="25">
        <f>B40*J4</f>
        <v>86034</v>
      </c>
      <c r="C41" s="25">
        <f>C40*J5</f>
        <v>68280</v>
      </c>
      <c r="D41" s="25">
        <f>D40*J6</f>
        <v>27500</v>
      </c>
      <c r="E41" s="25">
        <f>E40*J7</f>
        <v>109500</v>
      </c>
      <c r="F41" s="25">
        <f>F40*J8</f>
        <v>17010</v>
      </c>
    </row>
    <row r="42" spans="1:25" ht="14.25" customHeight="1">
      <c r="A42" s="15" t="s">
        <v>39</v>
      </c>
      <c r="B42" s="28" t="s">
        <v>44</v>
      </c>
      <c r="C42" s="28" t="s">
        <v>45</v>
      </c>
      <c r="D42" s="12" t="s">
        <v>5</v>
      </c>
      <c r="E42" s="12" t="s">
        <v>6</v>
      </c>
      <c r="F42" s="28" t="s">
        <v>48</v>
      </c>
    </row>
    <row r="43" spans="1:25" ht="14.25" customHeight="1">
      <c r="A43" s="2" t="s">
        <v>40</v>
      </c>
      <c r="B43" s="3">
        <v>0</v>
      </c>
      <c r="C43" s="3">
        <v>4</v>
      </c>
      <c r="D43" s="3">
        <v>0</v>
      </c>
      <c r="E43" s="3">
        <v>0</v>
      </c>
      <c r="F43" s="3">
        <v>4</v>
      </c>
    </row>
    <row r="44" spans="1:25" ht="14.25" customHeight="1">
      <c r="A44" s="6" t="s">
        <v>41</v>
      </c>
      <c r="B44" s="7">
        <v>2</v>
      </c>
      <c r="C44" s="7">
        <v>2</v>
      </c>
      <c r="D44" s="7">
        <v>0</v>
      </c>
      <c r="E44" s="7">
        <v>0</v>
      </c>
      <c r="F44" s="7">
        <v>2</v>
      </c>
    </row>
    <row r="45" spans="1:25" ht="14.25" customHeight="1">
      <c r="A45" s="9" t="s">
        <v>49</v>
      </c>
      <c r="B45" s="30">
        <f>SUM(B43:B44)</f>
        <v>2</v>
      </c>
      <c r="C45" s="30">
        <f>SUM(C43:C44)</f>
        <v>6</v>
      </c>
      <c r="D45" s="30">
        <f>SUM(D43:D44)</f>
        <v>0</v>
      </c>
      <c r="E45" s="30">
        <f>SUM(E43:E44)</f>
        <v>0</v>
      </c>
      <c r="F45" s="30">
        <f>SUM(F43:F44)</f>
        <v>6</v>
      </c>
    </row>
    <row r="46" spans="1:25" ht="14.25" customHeight="1">
      <c r="A46" s="26" t="s">
        <v>50</v>
      </c>
      <c r="B46" s="31">
        <f>B45*J4</f>
        <v>28678</v>
      </c>
      <c r="C46" s="31">
        <f>C45*J5</f>
        <v>40968</v>
      </c>
      <c r="D46" s="31">
        <f>D45*J6</f>
        <v>0</v>
      </c>
      <c r="E46" s="31">
        <f>E45*J7</f>
        <v>0</v>
      </c>
      <c r="F46" s="31">
        <f>F45*J8</f>
        <v>17010</v>
      </c>
    </row>
    <row r="47" spans="1:25" ht="14.25" customHeight="1">
      <c r="A47" s="29" t="s">
        <v>43</v>
      </c>
      <c r="B47" s="34" t="s">
        <v>44</v>
      </c>
      <c r="C47" s="34" t="s">
        <v>45</v>
      </c>
      <c r="D47" s="34" t="s">
        <v>5</v>
      </c>
      <c r="E47" s="34" t="s">
        <v>6</v>
      </c>
      <c r="F47" s="34" t="s">
        <v>48</v>
      </c>
    </row>
    <row r="48" spans="1:25" ht="14.25" customHeight="1">
      <c r="A48" s="27" t="s">
        <v>54</v>
      </c>
      <c r="B48" s="32">
        <f>SUM(B16+B27+B34+B41+B46)</f>
        <v>573560</v>
      </c>
      <c r="C48" s="32">
        <f>SUM(C16+C27+C34+C41+C46)</f>
        <v>682800</v>
      </c>
      <c r="D48" s="35">
        <f>SUM(D16+D27+D34+D41+D46)</f>
        <v>96250</v>
      </c>
      <c r="E48" s="35">
        <f>SUM(E16+E27+E34+E41+E46)</f>
        <v>200750</v>
      </c>
      <c r="F48" s="35">
        <f>SUM(F16+F27+F34+F41+F46)</f>
        <v>136080</v>
      </c>
    </row>
    <row r="49" spans="1:6" ht="14.25" customHeight="1">
      <c r="A49" s="27" t="s">
        <v>55</v>
      </c>
      <c r="B49" s="33">
        <f>SUM(B15+B26+B33+B40+B45)</f>
        <v>40</v>
      </c>
      <c r="C49" s="33">
        <f>SUM(C15+C26+C33+C40+C45)</f>
        <v>100</v>
      </c>
      <c r="D49" s="33">
        <f>SUM(D15+D26+D33+D40+D45)</f>
        <v>14</v>
      </c>
      <c r="E49" s="33">
        <f>SUM(E15+E26+E33+E40+E45)</f>
        <v>22</v>
      </c>
      <c r="F49" s="33">
        <f>SUM(F15+F26+F33+F40+F45)</f>
        <v>48</v>
      </c>
    </row>
    <row r="50" spans="1:6" ht="14.25" customHeight="1">
      <c r="B50" s="36"/>
    </row>
    <row r="51" spans="1:6" ht="14.25" customHeight="1"/>
    <row r="52" spans="1:6" ht="14.25" customHeight="1"/>
    <row r="53" spans="1:6" ht="14.25" customHeight="1"/>
    <row r="54" spans="1:6" ht="14.25" customHeight="1"/>
    <row r="55" spans="1:6" ht="14.25" customHeight="1"/>
    <row r="56" spans="1:6" ht="14.25" customHeight="1"/>
    <row r="57" spans="1:6" ht="14.25" customHeight="1"/>
    <row r="58" spans="1:6" ht="14.25" customHeight="1"/>
    <row r="59" spans="1:6" ht="14.25" customHeight="1"/>
    <row r="60" spans="1:6" ht="14.25" customHeight="1"/>
    <row r="61" spans="1:6" ht="14.25" customHeight="1"/>
    <row r="62" spans="1:6" ht="14.25" customHeight="1"/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mergeCells count="1">
    <mergeCell ref="B1:F1"/>
  </mergeCells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63C0-A348-4DA8-A484-49BD59D48DF3}">
  <dimension ref="A2:C10"/>
  <sheetViews>
    <sheetView workbookViewId="0">
      <selection activeCell="A16" sqref="A16"/>
    </sheetView>
  </sheetViews>
  <sheetFormatPr baseColWidth="10" defaultRowHeight="15"/>
  <cols>
    <col min="1" max="1" width="33.28515625" bestFit="1" customWidth="1"/>
  </cols>
  <sheetData>
    <row r="2" spans="1:3">
      <c r="A2" s="65" t="s">
        <v>76</v>
      </c>
      <c r="B2" s="66"/>
    </row>
    <row r="3" spans="1:3">
      <c r="A3" s="20" t="s">
        <v>72</v>
      </c>
      <c r="B3" s="50">
        <v>171000</v>
      </c>
      <c r="C3" s="49"/>
    </row>
    <row r="4" spans="1:3">
      <c r="A4" s="20" t="s">
        <v>71</v>
      </c>
      <c r="B4" s="50">
        <v>23750</v>
      </c>
    </row>
    <row r="5" spans="1:3">
      <c r="A5" s="20" t="s">
        <v>65</v>
      </c>
      <c r="B5" s="50">
        <v>0</v>
      </c>
    </row>
    <row r="6" spans="1:3">
      <c r="A6" s="20" t="s">
        <v>73</v>
      </c>
      <c r="B6" s="53">
        <f>10000*12</f>
        <v>120000</v>
      </c>
    </row>
    <row r="7" spans="1:3">
      <c r="A7" s="20" t="s">
        <v>74</v>
      </c>
      <c r="B7" s="50">
        <f>5000*12</f>
        <v>60000</v>
      </c>
    </row>
    <row r="8" spans="1:3">
      <c r="A8" s="47" t="s">
        <v>75</v>
      </c>
      <c r="B8" s="51">
        <f>SUM(B3:B7)</f>
        <v>374750</v>
      </c>
    </row>
    <row r="10" spans="1:3">
      <c r="A10" s="19"/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FAD7-453B-4ACD-BACF-285F565BEC6A}">
  <dimension ref="A2:M33"/>
  <sheetViews>
    <sheetView zoomScale="90" zoomScaleNormal="90" workbookViewId="0">
      <selection activeCell="L7" sqref="L7"/>
    </sheetView>
  </sheetViews>
  <sheetFormatPr baseColWidth="10" defaultRowHeight="15"/>
  <cols>
    <col min="1" max="1" width="30.7109375" bestFit="1" customWidth="1"/>
    <col min="2" max="2" width="12" bestFit="1" customWidth="1"/>
    <col min="4" max="4" width="27.7109375" bestFit="1" customWidth="1"/>
    <col min="5" max="5" width="13" bestFit="1" customWidth="1"/>
    <col min="6" max="7" width="12.7109375" bestFit="1" customWidth="1"/>
    <col min="8" max="10" width="13" bestFit="1" customWidth="1"/>
    <col min="13" max="13" width="13" bestFit="1" customWidth="1"/>
  </cols>
  <sheetData>
    <row r="2" spans="1:13">
      <c r="A2" s="47" t="s">
        <v>66</v>
      </c>
      <c r="B2" s="47" t="s">
        <v>69</v>
      </c>
      <c r="C2" s="41"/>
      <c r="D2" s="47" t="s">
        <v>80</v>
      </c>
      <c r="E2" s="47" t="s">
        <v>81</v>
      </c>
      <c r="F2" s="47" t="s">
        <v>82</v>
      </c>
      <c r="G2" s="47" t="s">
        <v>94</v>
      </c>
      <c r="H2" s="47" t="s">
        <v>83</v>
      </c>
      <c r="I2" s="47" t="s">
        <v>95</v>
      </c>
      <c r="J2" s="47" t="s">
        <v>84</v>
      </c>
      <c r="L2" s="47" t="s">
        <v>119</v>
      </c>
      <c r="M2" s="23">
        <v>21246864.6740533</v>
      </c>
    </row>
    <row r="3" spans="1:13">
      <c r="A3" s="22" t="s">
        <v>67</v>
      </c>
      <c r="B3" s="37">
        <f>Estimado_HH!I17</f>
        <v>1689440</v>
      </c>
      <c r="C3" s="36"/>
      <c r="D3" s="8" t="s">
        <v>85</v>
      </c>
      <c r="E3" s="55">
        <v>0</v>
      </c>
      <c r="F3" s="56">
        <f>E22</f>
        <v>4238136.8</v>
      </c>
      <c r="G3" s="56">
        <f>F22</f>
        <v>4893228.8</v>
      </c>
      <c r="H3" s="56">
        <f>G22</f>
        <v>5793023.5999999996</v>
      </c>
      <c r="I3" s="56">
        <f>H22</f>
        <v>6855305.9039999992</v>
      </c>
      <c r="J3" s="56">
        <f>I22</f>
        <v>7897270.2323199995</v>
      </c>
      <c r="L3" s="47" t="s">
        <v>120</v>
      </c>
      <c r="M3" s="81">
        <v>1.29</v>
      </c>
    </row>
    <row r="4" spans="1:13">
      <c r="A4" s="22" t="s">
        <v>70</v>
      </c>
      <c r="B4" s="37">
        <f>B3*0.1</f>
        <v>168944</v>
      </c>
      <c r="D4" s="8" t="s">
        <v>86</v>
      </c>
      <c r="E4" s="54">
        <v>3000000</v>
      </c>
      <c r="F4" s="54"/>
      <c r="G4" s="54"/>
      <c r="H4" s="54"/>
      <c r="I4" s="54"/>
      <c r="J4" s="54"/>
    </row>
    <row r="5" spans="1:13">
      <c r="A5" s="77" t="s">
        <v>68</v>
      </c>
      <c r="B5" s="78">
        <f>SUM(B3:B4)</f>
        <v>1858384</v>
      </c>
      <c r="D5" s="8" t="s">
        <v>87</v>
      </c>
      <c r="E5" s="54">
        <v>1500000</v>
      </c>
      <c r="F5" s="54"/>
      <c r="G5" s="54"/>
      <c r="H5" s="54"/>
      <c r="I5" s="54"/>
      <c r="J5" s="54"/>
    </row>
    <row r="6" spans="1:13">
      <c r="A6" s="79"/>
      <c r="B6" s="79"/>
      <c r="D6" s="8" t="s">
        <v>88</v>
      </c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</row>
    <row r="7" spans="1:13">
      <c r="A7" s="79"/>
      <c r="B7" s="79"/>
      <c r="D7" s="72" t="s">
        <v>114</v>
      </c>
      <c r="E7" s="75">
        <f>$B$14</f>
        <v>2000</v>
      </c>
      <c r="F7" s="75">
        <f>$B$14* POWER(1+$B$15, 1)</f>
        <v>2160</v>
      </c>
      <c r="G7" s="86">
        <f>$B$14* POWER(1+$B$15, 2)</f>
        <v>2332.8000000000002</v>
      </c>
      <c r="H7" s="86">
        <f>$B$14* POWER(1+$B$15, 3)</f>
        <v>2519.4240000000004</v>
      </c>
      <c r="I7" s="86">
        <f>$B$14* POWER(1+$B$15, 4)</f>
        <v>2720.9779200000007</v>
      </c>
      <c r="J7" s="86">
        <f>$B$14* POWER(1+$B$15, 5)</f>
        <v>2938.6561536000008</v>
      </c>
    </row>
    <row r="8" spans="1:13">
      <c r="A8" s="80"/>
      <c r="B8" s="80"/>
      <c r="D8" s="85" t="s">
        <v>98</v>
      </c>
      <c r="E8" s="54"/>
      <c r="F8" s="87">
        <f>F7*$B$16*$B$17</f>
        <v>259200.00000000003</v>
      </c>
      <c r="G8" s="87">
        <f t="shared" ref="G8:J8" si="0">G7*$B$16*$B$17</f>
        <v>279936.00000000006</v>
      </c>
      <c r="H8" s="87">
        <f t="shared" si="0"/>
        <v>302330.88000000006</v>
      </c>
      <c r="I8" s="87">
        <f t="shared" si="0"/>
        <v>326517.35040000011</v>
      </c>
      <c r="J8" s="87">
        <f t="shared" si="0"/>
        <v>352638.7384320001</v>
      </c>
    </row>
    <row r="9" spans="1:13">
      <c r="A9" s="47" t="s">
        <v>103</v>
      </c>
      <c r="B9" s="47" t="s">
        <v>69</v>
      </c>
      <c r="D9" s="85" t="s">
        <v>99</v>
      </c>
      <c r="E9" s="54"/>
      <c r="F9" s="54">
        <f>$B$18*$B$21</f>
        <v>1200000</v>
      </c>
      <c r="G9" s="54">
        <f>$B$18*$B$21</f>
        <v>1200000</v>
      </c>
      <c r="H9" s="54">
        <f>$B$18*$B$21</f>
        <v>1200000</v>
      </c>
      <c r="I9" s="54">
        <f>$B$18*$B$21</f>
        <v>1200000</v>
      </c>
      <c r="J9" s="54">
        <f>$B$18*$B$21</f>
        <v>1200000</v>
      </c>
    </row>
    <row r="10" spans="1:13">
      <c r="A10" s="22" t="s">
        <v>102</v>
      </c>
      <c r="B10" s="23">
        <v>34200</v>
      </c>
      <c r="D10" s="47" t="s">
        <v>100</v>
      </c>
      <c r="E10" s="83">
        <f>SUM(E3:E6)</f>
        <v>4500000</v>
      </c>
      <c r="F10" s="83">
        <f>SUM(F3:F9)</f>
        <v>5699496.7999999998</v>
      </c>
      <c r="G10" s="83">
        <f>SUM(G3:G9)</f>
        <v>6375497.5999999996</v>
      </c>
      <c r="H10" s="83">
        <f>SUM(H3:H9)</f>
        <v>7297873.9039999992</v>
      </c>
      <c r="I10" s="83">
        <f>SUM(I3:I9)</f>
        <v>8384544.2323199995</v>
      </c>
      <c r="J10" s="83">
        <f>SUM(J3:J9)</f>
        <v>9452847.6269055996</v>
      </c>
    </row>
    <row r="11" spans="1:13">
      <c r="A11" s="22" t="s">
        <v>78</v>
      </c>
      <c r="B11" s="23">
        <v>120000</v>
      </c>
      <c r="D11" s="20" t="s">
        <v>89</v>
      </c>
      <c r="E11" s="57">
        <v>0</v>
      </c>
      <c r="F11" s="54">
        <v>5000</v>
      </c>
      <c r="G11" s="54">
        <v>5000</v>
      </c>
      <c r="H11" s="54">
        <v>5000</v>
      </c>
      <c r="I11" s="54">
        <v>5000</v>
      </c>
      <c r="J11" s="54">
        <v>5000</v>
      </c>
    </row>
    <row r="12" spans="1:13">
      <c r="A12" s="22" t="s">
        <v>77</v>
      </c>
      <c r="B12" s="23">
        <v>60000</v>
      </c>
      <c r="C12" s="41"/>
      <c r="D12" s="20" t="s">
        <v>90</v>
      </c>
      <c r="E12" s="57">
        <v>0</v>
      </c>
      <c r="F12" s="54">
        <v>10000</v>
      </c>
      <c r="G12" s="54">
        <v>10000</v>
      </c>
      <c r="H12" s="54">
        <v>10000</v>
      </c>
      <c r="I12" s="54">
        <v>10000</v>
      </c>
      <c r="J12" s="54">
        <v>10000</v>
      </c>
    </row>
    <row r="13" spans="1:13">
      <c r="A13" s="22" t="s">
        <v>79</v>
      </c>
      <c r="B13" s="23">
        <v>23750</v>
      </c>
      <c r="C13" s="42"/>
      <c r="D13" s="20" t="s">
        <v>92</v>
      </c>
      <c r="E13" s="57">
        <v>0</v>
      </c>
      <c r="F13" s="54">
        <v>4750</v>
      </c>
      <c r="G13" s="54">
        <v>4750</v>
      </c>
      <c r="H13" s="54">
        <v>4750</v>
      </c>
      <c r="I13" s="57">
        <v>4750</v>
      </c>
      <c r="J13" s="54">
        <v>4750</v>
      </c>
    </row>
    <row r="14" spans="1:13">
      <c r="A14" s="22" t="s">
        <v>104</v>
      </c>
      <c r="B14" s="8">
        <v>2000</v>
      </c>
      <c r="C14" s="42"/>
      <c r="D14" s="72" t="s">
        <v>101</v>
      </c>
      <c r="E14" s="57">
        <v>0</v>
      </c>
      <c r="F14" s="54">
        <v>34200</v>
      </c>
      <c r="G14" s="54">
        <v>34200</v>
      </c>
      <c r="H14" s="54">
        <v>34200</v>
      </c>
      <c r="I14" s="54">
        <v>34200</v>
      </c>
      <c r="J14" s="54">
        <v>34200</v>
      </c>
    </row>
    <row r="15" spans="1:13" ht="18" customHeight="1">
      <c r="A15" s="22" t="s">
        <v>105</v>
      </c>
      <c r="B15" s="82">
        <v>0.08</v>
      </c>
      <c r="C15" s="42"/>
      <c r="D15" s="20" t="s">
        <v>93</v>
      </c>
      <c r="E15" s="58">
        <v>0</v>
      </c>
      <c r="F15" s="73">
        <f>Estimado_HH!I12</f>
        <v>627318</v>
      </c>
      <c r="G15" s="58">
        <f>Estimado_HH!I13</f>
        <v>403524</v>
      </c>
      <c r="H15" s="58">
        <f>Estimado_HH!I14</f>
        <v>263618</v>
      </c>
      <c r="I15" s="58">
        <f>Estimado_HH!I15</f>
        <v>308324</v>
      </c>
      <c r="J15" s="58">
        <f>Estimado_HH!I16</f>
        <v>86656</v>
      </c>
    </row>
    <row r="16" spans="1:13">
      <c r="A16" s="22" t="s">
        <v>106</v>
      </c>
      <c r="B16" s="82">
        <v>0.04</v>
      </c>
      <c r="C16" s="42"/>
      <c r="D16" s="72" t="s">
        <v>97</v>
      </c>
      <c r="E16" s="54">
        <f>B4</f>
        <v>168944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</row>
    <row r="17" spans="1:10">
      <c r="A17" s="22" t="s">
        <v>107</v>
      </c>
      <c r="B17" s="23">
        <v>3000</v>
      </c>
      <c r="C17" s="42"/>
      <c r="D17" s="72" t="s">
        <v>96</v>
      </c>
      <c r="E17" s="54">
        <f>B5*0.05</f>
        <v>92919.200000000012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</row>
    <row r="18" spans="1:10">
      <c r="A18" s="22" t="s">
        <v>108</v>
      </c>
      <c r="B18" s="8">
        <v>800</v>
      </c>
      <c r="C18" s="42"/>
      <c r="D18" s="72" t="s">
        <v>115</v>
      </c>
      <c r="E18" s="54">
        <v>0</v>
      </c>
      <c r="F18" s="54">
        <f>IF($B$22&gt;0,$E$5/$B$22,0)</f>
        <v>125000</v>
      </c>
      <c r="G18" s="54">
        <f t="shared" ref="G18:J18" si="1">IF($B$22&gt;0,$E$5/$B$22,0)</f>
        <v>125000</v>
      </c>
      <c r="H18" s="54">
        <f t="shared" si="1"/>
        <v>125000</v>
      </c>
      <c r="I18" s="54">
        <f t="shared" si="1"/>
        <v>125000</v>
      </c>
      <c r="J18" s="54">
        <f t="shared" si="1"/>
        <v>125000</v>
      </c>
    </row>
    <row r="19" spans="1:10">
      <c r="A19" s="22" t="s">
        <v>109</v>
      </c>
      <c r="B19" s="82">
        <v>0.25</v>
      </c>
      <c r="D19" s="47" t="s">
        <v>116</v>
      </c>
      <c r="E19" s="83">
        <f>SUM(E11:E18)</f>
        <v>261863.2</v>
      </c>
      <c r="F19" s="83">
        <f>SUM(F11:F18)</f>
        <v>806268</v>
      </c>
      <c r="G19" s="83">
        <f t="shared" ref="F19:J19" si="2">SUM(G11:G18)</f>
        <v>582474</v>
      </c>
      <c r="H19" s="83">
        <f t="shared" si="2"/>
        <v>442568</v>
      </c>
      <c r="I19" s="83">
        <f t="shared" si="2"/>
        <v>487274</v>
      </c>
      <c r="J19" s="83">
        <f t="shared" si="2"/>
        <v>265606</v>
      </c>
    </row>
    <row r="20" spans="1:10">
      <c r="A20" s="22" t="s">
        <v>111</v>
      </c>
      <c r="B20" s="81">
        <v>0.1</v>
      </c>
      <c r="D20" s="47" t="s">
        <v>117</v>
      </c>
      <c r="E20" s="83">
        <v>0</v>
      </c>
      <c r="F20" s="83">
        <f t="shared" ref="F20:J20" si="3">F10-F19-F18</f>
        <v>4768228.8</v>
      </c>
      <c r="G20" s="83">
        <f t="shared" si="3"/>
        <v>5668023.5999999996</v>
      </c>
      <c r="H20" s="83">
        <f t="shared" si="3"/>
        <v>6730305.9039999992</v>
      </c>
      <c r="I20" s="83">
        <f t="shared" si="3"/>
        <v>7772270.2323199995</v>
      </c>
      <c r="J20" s="83">
        <f t="shared" si="3"/>
        <v>9062241.6269055996</v>
      </c>
    </row>
    <row r="21" spans="1:10">
      <c r="A21" s="84" t="s">
        <v>110</v>
      </c>
      <c r="B21" s="8">
        <v>1500</v>
      </c>
      <c r="D21" s="47" t="s">
        <v>118</v>
      </c>
      <c r="E21" s="83"/>
      <c r="F21" s="83">
        <f>MAX(0, F19*$B$19)</f>
        <v>201567</v>
      </c>
      <c r="G21" s="83">
        <f t="shared" ref="G21:J21" si="4">MAX(0, G19*$B$19)</f>
        <v>145618.5</v>
      </c>
      <c r="H21" s="83">
        <f t="shared" si="4"/>
        <v>110642</v>
      </c>
      <c r="I21" s="83">
        <f t="shared" si="4"/>
        <v>121818.5</v>
      </c>
      <c r="J21" s="83">
        <f t="shared" si="4"/>
        <v>66401.5</v>
      </c>
    </row>
    <row r="22" spans="1:10">
      <c r="A22" s="84" t="s">
        <v>112</v>
      </c>
      <c r="B22" s="23">
        <v>12</v>
      </c>
      <c r="D22" s="47" t="s">
        <v>91</v>
      </c>
      <c r="E22" s="83">
        <f>E10-E19</f>
        <v>4238136.8</v>
      </c>
      <c r="F22" s="83">
        <f t="shared" ref="F22:J22" si="5">F10-F19</f>
        <v>4893228.8</v>
      </c>
      <c r="G22" s="83">
        <f t="shared" si="5"/>
        <v>5793023.5999999996</v>
      </c>
      <c r="H22" s="83">
        <f t="shared" si="5"/>
        <v>6855305.9039999992</v>
      </c>
      <c r="I22" s="83">
        <f t="shared" si="5"/>
        <v>7897270.2323199995</v>
      </c>
      <c r="J22" s="83">
        <f t="shared" si="5"/>
        <v>9187241.6269055996</v>
      </c>
    </row>
    <row r="23" spans="1:10">
      <c r="A23" s="84" t="s">
        <v>113</v>
      </c>
      <c r="B23" s="23">
        <f>POWER(1+B20,1/12)-1</f>
        <v>7.9741404289037643E-3</v>
      </c>
    </row>
    <row r="24" spans="1:10" ht="15" customHeight="1">
      <c r="B24" s="76"/>
      <c r="D24" s="94"/>
      <c r="E24" s="95"/>
      <c r="F24" s="95"/>
      <c r="G24" s="95"/>
      <c r="H24" s="95"/>
      <c r="I24" s="95"/>
      <c r="J24" s="95"/>
    </row>
    <row r="25" spans="1:10">
      <c r="A25" s="91"/>
      <c r="B25" s="76"/>
      <c r="D25" s="95"/>
      <c r="E25" s="95"/>
      <c r="F25" s="95"/>
      <c r="G25" s="95"/>
      <c r="H25" s="95"/>
      <c r="I25" s="95"/>
      <c r="J25" s="95"/>
    </row>
    <row r="26" spans="1:10">
      <c r="A26" s="91"/>
      <c r="B26" s="92"/>
      <c r="D26" s="95"/>
      <c r="E26" s="95"/>
      <c r="F26" s="95"/>
      <c r="G26" s="95"/>
      <c r="H26" s="95"/>
      <c r="I26" s="95"/>
      <c r="J26" s="95"/>
    </row>
    <row r="27" spans="1:10">
      <c r="A27" s="71"/>
      <c r="D27" s="95"/>
      <c r="E27" s="95"/>
      <c r="F27" s="95"/>
      <c r="G27" s="95"/>
      <c r="H27" s="95"/>
      <c r="I27" s="95"/>
      <c r="J27" s="95"/>
    </row>
    <row r="28" spans="1:10">
      <c r="D28" s="95"/>
      <c r="E28" s="95"/>
      <c r="F28" s="95"/>
      <c r="G28" s="95"/>
      <c r="H28" s="95"/>
      <c r="I28" s="95"/>
      <c r="J28" s="95"/>
    </row>
    <row r="29" spans="1:10">
      <c r="D29" s="95"/>
      <c r="E29" s="95"/>
      <c r="F29" s="95"/>
      <c r="G29" s="95"/>
      <c r="H29" s="95"/>
      <c r="I29" s="95"/>
      <c r="J29" s="95"/>
    </row>
    <row r="30" spans="1:10">
      <c r="D30" s="95"/>
      <c r="E30" s="95"/>
      <c r="F30" s="95"/>
      <c r="G30" s="95"/>
      <c r="H30" s="95"/>
      <c r="I30" s="95"/>
      <c r="J30" s="95"/>
    </row>
    <row r="31" spans="1:10">
      <c r="D31" s="95"/>
      <c r="E31" s="95"/>
      <c r="F31" s="95"/>
      <c r="G31" s="95"/>
      <c r="H31" s="95"/>
      <c r="I31" s="95"/>
      <c r="J31" s="95"/>
    </row>
    <row r="32" spans="1:10">
      <c r="D32" s="95"/>
      <c r="E32" s="95"/>
      <c r="F32" s="95"/>
      <c r="G32" s="95"/>
      <c r="H32" s="95"/>
      <c r="I32" s="95"/>
      <c r="J32" s="95"/>
    </row>
    <row r="33" spans="4:10">
      <c r="D33" s="95"/>
      <c r="E33" s="95"/>
      <c r="F33" s="95"/>
      <c r="G33" s="95"/>
      <c r="H33" s="95"/>
      <c r="I33" s="95"/>
      <c r="J33" s="95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5920-69F6-4F76-8A09-75F65A6C713F}">
  <dimension ref="A1:H28"/>
  <sheetViews>
    <sheetView topLeftCell="A13" workbookViewId="0">
      <selection activeCell="B27" sqref="B27:C28"/>
    </sheetView>
  </sheetViews>
  <sheetFormatPr baseColWidth="10" defaultRowHeight="15"/>
  <cols>
    <col min="1" max="1" width="19.85546875" customWidth="1"/>
    <col min="2" max="2" width="20.42578125" bestFit="1" customWidth="1"/>
    <col min="3" max="3" width="12" bestFit="1" customWidth="1"/>
    <col min="4" max="4" width="11" bestFit="1" customWidth="1"/>
    <col min="5" max="5" width="11.7109375" bestFit="1" customWidth="1"/>
    <col min="6" max="6" width="11" bestFit="1" customWidth="1"/>
    <col min="7" max="7" width="11.7109375" bestFit="1" customWidth="1"/>
    <col min="8" max="8" width="11" bestFit="1" customWidth="1"/>
  </cols>
  <sheetData>
    <row r="1" spans="1:2">
      <c r="A1" s="88"/>
      <c r="B1" s="88"/>
    </row>
    <row r="2" spans="1:2">
      <c r="A2" s="89"/>
      <c r="B2" s="89"/>
    </row>
    <row r="3" spans="1:2">
      <c r="A3" s="89"/>
      <c r="B3" s="89"/>
    </row>
    <row r="4" spans="1:2">
      <c r="A4" s="89"/>
      <c r="B4" s="89"/>
    </row>
    <row r="5" spans="1:2">
      <c r="A5" s="89"/>
      <c r="B5" s="89"/>
    </row>
    <row r="6" spans="1:2">
      <c r="A6" s="89"/>
      <c r="B6" s="89"/>
    </row>
    <row r="7" spans="1:2">
      <c r="A7" s="89"/>
      <c r="B7" s="89"/>
    </row>
    <row r="8" spans="1:2">
      <c r="A8" s="89"/>
      <c r="B8" s="89"/>
    </row>
    <row r="9" spans="1:2">
      <c r="A9" s="89"/>
      <c r="B9" s="89"/>
    </row>
    <row r="10" spans="1:2">
      <c r="A10" s="89"/>
      <c r="B10" s="89"/>
    </row>
    <row r="11" spans="1:2">
      <c r="A11" s="89"/>
      <c r="B11" s="89"/>
    </row>
    <row r="12" spans="1:2">
      <c r="A12" s="89"/>
      <c r="B12" s="89"/>
    </row>
    <row r="13" spans="1:2">
      <c r="A13" s="89"/>
      <c r="B13" s="89"/>
    </row>
    <row r="14" spans="1:2">
      <c r="A14" s="89"/>
      <c r="B14" s="89"/>
    </row>
    <row r="15" spans="1:2">
      <c r="A15" s="89"/>
      <c r="B15" s="90"/>
    </row>
    <row r="16" spans="1:2">
      <c r="A16" s="89"/>
      <c r="B16" s="89"/>
    </row>
    <row r="18" spans="2:8">
      <c r="B18" s="47"/>
      <c r="C18" s="74" t="str">
        <f>Flujo_Caja!E2</f>
        <v>MES 0</v>
      </c>
      <c r="D18" s="52" t="str">
        <f>Flujo_Caja!F2</f>
        <v>AGOSTO</v>
      </c>
      <c r="E18" s="52" t="str">
        <f>Flujo_Caja!G2</f>
        <v>SEPTIEMBRE</v>
      </c>
      <c r="F18" s="52" t="str">
        <f>Flujo_Caja!H2</f>
        <v>OCTUBRE</v>
      </c>
      <c r="G18" s="52" t="str">
        <f>Flujo_Caja!I2</f>
        <v>NOVIEMBRE</v>
      </c>
      <c r="H18" s="52" t="str">
        <f>Flujo_Caja!J2</f>
        <v>DICIEMBRE</v>
      </c>
    </row>
    <row r="19" spans="2:8">
      <c r="B19" s="47" t="s">
        <v>121</v>
      </c>
      <c r="C19" s="23">
        <f>Flujo_Caja!E22</f>
        <v>4238136.8</v>
      </c>
      <c r="D19" s="8"/>
      <c r="E19" s="8"/>
      <c r="F19" s="8"/>
      <c r="G19" s="8"/>
      <c r="H19" s="8"/>
    </row>
    <row r="20" spans="2:8">
      <c r="B20" s="47" t="str">
        <f>Flujo_Caja!D22</f>
        <v>FLUJOS</v>
      </c>
      <c r="C20" s="23">
        <f>-Flujo_Caja!E22</f>
        <v>-4238136.8</v>
      </c>
      <c r="D20" s="23">
        <f>Flujo_Caja!F22</f>
        <v>4893228.8</v>
      </c>
      <c r="E20" s="23">
        <f>Flujo_Caja!G22</f>
        <v>5793023.5999999996</v>
      </c>
      <c r="F20" s="23">
        <f>Flujo_Caja!H22</f>
        <v>6855305.9039999992</v>
      </c>
      <c r="G20" s="23">
        <f>Flujo_Caja!I22</f>
        <v>7897270.2323199995</v>
      </c>
      <c r="H20" s="23">
        <f>Flujo_Caja!J22</f>
        <v>9187241.6269055996</v>
      </c>
    </row>
    <row r="23" spans="2:8">
      <c r="B23" s="47" t="s">
        <v>122</v>
      </c>
      <c r="C23" s="81">
        <v>0.1</v>
      </c>
    </row>
    <row r="27" spans="2:8">
      <c r="B27" s="47" t="s">
        <v>119</v>
      </c>
      <c r="C27" s="37">
        <f>NPV(C23,D20:H20)+C20</f>
        <v>21246864.6740533</v>
      </c>
    </row>
    <row r="28" spans="2:8">
      <c r="B28" s="47" t="s">
        <v>120</v>
      </c>
      <c r="C28" s="93">
        <f>IRR(C20:H20)</f>
        <v>1.2920859756952603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Estimado_HH</vt:lpstr>
      <vt:lpstr>Gastos_Operacionales</vt:lpstr>
      <vt:lpstr>Flujo_Caja</vt:lpstr>
      <vt:lpstr>VAR_TIR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noelia morales peña</cp:lastModifiedBy>
  <dcterms:created xsi:type="dcterms:W3CDTF">2018-01-25T19:02:19Z</dcterms:created>
  <dcterms:modified xsi:type="dcterms:W3CDTF">2025-11-27T04:02:55Z</dcterms:modified>
</cp:coreProperties>
</file>