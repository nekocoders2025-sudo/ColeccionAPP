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</sheets>
  <definedNames/>
  <calcPr/>
  <extLst>
    <ext uri="GoogleSheetsCustomDataVersion2">
      <go:sheetsCustomData xmlns:go="http://customooxmlschemas.google.com/" r:id="rId6" roundtripDataChecksum="sNWSyVhZA4alE01KTEoIu/fBoXF9Rt0ewEarPzvufTo="/>
    </ext>
  </extLst>
</workbook>
</file>

<file path=xl/sharedStrings.xml><?xml version="1.0" encoding="utf-8"?>
<sst xmlns="http://schemas.openxmlformats.org/spreadsheetml/2006/main" count="222" uniqueCount="85">
  <si>
    <t>Etapas</t>
  </si>
  <si>
    <t>DIAS</t>
  </si>
  <si>
    <t>HORAS POR ACTIVIDAD O ENTREGABLE / DÍA</t>
  </si>
  <si>
    <t>Sprint 1 | Planificación, Análisis y Diseño</t>
  </si>
  <si>
    <t>Jefe de Proyecto</t>
  </si>
  <si>
    <t>Analista Programador</t>
  </si>
  <si>
    <t>DBA</t>
  </si>
  <si>
    <t>QA</t>
  </si>
  <si>
    <t>Diseñador</t>
  </si>
  <si>
    <t>DICCIONARIO EDT</t>
  </si>
  <si>
    <t>Organización del equipo</t>
  </si>
  <si>
    <t>ROL ACTOR</t>
  </si>
  <si>
    <t>NOMBRE ACTOR</t>
  </si>
  <si>
    <t>Definicion Proyecto APT</t>
  </si>
  <si>
    <t>Diego Quiroz</t>
  </si>
  <si>
    <t>Documentos Individuales</t>
  </si>
  <si>
    <t>Noelia Peña</t>
  </si>
  <si>
    <t>Acta de Constitución de proyecto</t>
  </si>
  <si>
    <t>Aprobación del Acta</t>
  </si>
  <si>
    <t>Definición de requerimientos Generales</t>
  </si>
  <si>
    <t>Captura de requerimientos específicos</t>
  </si>
  <si>
    <t>Documento de casos de uso extendido</t>
  </si>
  <si>
    <t>Prototipos</t>
  </si>
  <si>
    <t>Propuesta ERS</t>
  </si>
  <si>
    <t>Matriz EDT</t>
  </si>
  <si>
    <t>Documentos de Presentación de Proyecto</t>
  </si>
  <si>
    <t>Sprint 2 | Desarrollo de la aplicación móvil</t>
  </si>
  <si>
    <t>Documento DAS</t>
  </si>
  <si>
    <t>Documento Proceso de Negocios</t>
  </si>
  <si>
    <t>Matriz RACI</t>
  </si>
  <si>
    <t>Matriz de Riesgo</t>
  </si>
  <si>
    <t>Flujo de caja</t>
  </si>
  <si>
    <t>Diccionario de Datos</t>
  </si>
  <si>
    <t>Desarrollo de la Base de Datos</t>
  </si>
  <si>
    <t>Desarrollo Módulo de Autenticación y Perfil</t>
  </si>
  <si>
    <t>Desarrollo Módulo de Productos y Búsqueda</t>
  </si>
  <si>
    <t>Desarrollo Módulo Principal de Colección</t>
  </si>
  <si>
    <t>Sprint 3 | Entrenamiento e integración de modelo IA a APP Móvil</t>
  </si>
  <si>
    <t>Generación de repositorio de imágenes para entrenamiento</t>
  </si>
  <si>
    <t>Entrenamiento de modelo IA</t>
  </si>
  <si>
    <t>Integración de modelo IA con Aplicación</t>
  </si>
  <si>
    <t>Sprint 4 | Certificación QA y puesta en marcha de la app</t>
  </si>
  <si>
    <t>Implementación del ambiente de pruebas</t>
  </si>
  <si>
    <t>Pruebas funcionales y de usabilidad con usuarios finales</t>
  </si>
  <si>
    <t>Corrección de errores y ajustes finales</t>
  </si>
  <si>
    <t>Migración de la app a producción (Google Play / App Store)</t>
  </si>
  <si>
    <t>Sprint 5| Presentación Final del Proyecto</t>
  </si>
  <si>
    <t>Preparación de documentación final y manuales de usuario</t>
  </si>
  <si>
    <t>Acta de cierre del proyecto</t>
  </si>
  <si>
    <t>SIGLA</t>
  </si>
  <si>
    <t>ROL</t>
  </si>
  <si>
    <t>NOMBRE</t>
  </si>
  <si>
    <t>VALOR HORA HH</t>
  </si>
  <si>
    <t>HORAS</t>
  </si>
  <si>
    <t>SPRINT 1</t>
  </si>
  <si>
    <t>COSTO POR HORA</t>
  </si>
  <si>
    <t>JP</t>
  </si>
  <si>
    <t>COSTO x HORA</t>
  </si>
  <si>
    <t>Sueldo mes</t>
  </si>
  <si>
    <t>AP</t>
  </si>
  <si>
    <t>Desarrollador BD</t>
  </si>
  <si>
    <t>Calidad Y Testing</t>
  </si>
  <si>
    <t>Administrador BD</t>
  </si>
  <si>
    <t>DI</t>
  </si>
  <si>
    <t>TOTAL SPRINT 1</t>
  </si>
  <si>
    <t xml:space="preserve">VALOR HORA HH </t>
  </si>
  <si>
    <t>SPRINT 2</t>
  </si>
  <si>
    <t>COSTO HH POR ROL</t>
  </si>
  <si>
    <t>TOTAL SPRINT 2</t>
  </si>
  <si>
    <t>TOTAL HH</t>
  </si>
  <si>
    <t>SPRINT 3</t>
  </si>
  <si>
    <t>COSTO POR FASE</t>
  </si>
  <si>
    <t>Sprint 3 | Integración y pruebas del sistema</t>
  </si>
  <si>
    <t>TOTAL SPRINT 3</t>
  </si>
  <si>
    <t>TOTAL HH FASES</t>
  </si>
  <si>
    <t>SPRINT 4</t>
  </si>
  <si>
    <t xml:space="preserve">Margen </t>
  </si>
  <si>
    <t>Es el porcentaje de beneficio deseado sobre el costo incurrido.</t>
  </si>
  <si>
    <t>UTILIDAD</t>
  </si>
  <si>
    <t>ganancia monetaria obtenida al aplicar el margen del 60% al costo.</t>
  </si>
  <si>
    <t>PRECIO FINAL</t>
  </si>
  <si>
    <t>costo total mas utilidad(precio venta al cliente)</t>
  </si>
  <si>
    <t>TOTAL SPRINT 4</t>
  </si>
  <si>
    <t>SPRINT 5</t>
  </si>
  <si>
    <t>TOTAL 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</si>
</sst>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;[Red]&quot;$&quot;\-#,##0"/>
    <numFmt numFmtId="165" formatCode="0_ ;\-0\ "/>
    <numFmt numFmtId="166" formatCode="_ &quot;$&quot;* #,##0_ ;_ &quot;$&quot;* \-#,##0_ ;_ &quot;$&quot;* &quot;-&quot;_ ;_ @_ "/>
  </numFmts>
  <fonts count="6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</font>
    <font>
      <b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ill="1" applyFont="1">
      <alignment vertical="center"/>
    </xf>
    <xf borderId="1" fillId="2" fontId="1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2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vertical="top"/>
    </xf>
    <xf borderId="1" fillId="2" fontId="3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left" readingOrder="0" vertical="top"/>
    </xf>
    <xf borderId="0" fillId="0" fontId="1" numFmtId="0" xfId="0" applyFont="1"/>
    <xf borderId="1" fillId="2" fontId="3" numFmtId="0" xfId="0" applyAlignment="1" applyBorder="1" applyFont="1">
      <alignment vertical="top"/>
    </xf>
    <xf borderId="0" fillId="0" fontId="4" numFmtId="0" xfId="0" applyFont="1"/>
    <xf borderId="5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/>
    </xf>
    <xf borderId="7" fillId="0" fontId="2" numFmtId="0" xfId="0" applyBorder="1" applyFont="1"/>
    <xf borderId="2" fillId="0" fontId="1" numFmtId="0" xfId="0" applyBorder="1" applyFont="1"/>
    <xf borderId="1" fillId="0" fontId="1" numFmtId="164" xfId="0" applyAlignment="1" applyBorder="1" applyFont="1" applyNumberFormat="1">
      <alignment horizontal="right" shrinkToFit="0" wrapText="1"/>
    </xf>
    <xf borderId="4" fillId="0" fontId="1" numFmtId="165" xfId="0" applyBorder="1" applyFont="1" applyNumberFormat="1"/>
    <xf borderId="1" fillId="0" fontId="1" numFmtId="166" xfId="0" applyBorder="1" applyFont="1" applyNumberFormat="1"/>
    <xf borderId="1" fillId="0" fontId="1" numFmtId="164" xfId="0" applyAlignment="1" applyBorder="1" applyFont="1" applyNumberFormat="1">
      <alignment horizontal="right" readingOrder="0" shrinkToFit="0" wrapText="1"/>
    </xf>
    <xf borderId="1" fillId="4" fontId="5" numFmtId="0" xfId="0" applyBorder="1" applyFill="1" applyFont="1"/>
    <xf borderId="1" fillId="4" fontId="5" numFmtId="166" xfId="0" applyBorder="1" applyFont="1" applyNumberFormat="1"/>
    <xf borderId="1" fillId="0" fontId="1" numFmtId="9" xfId="0" applyBorder="1" applyFont="1" applyNumberFormat="1"/>
    <xf borderId="0" fillId="0" fontId="1" numFmtId="0" xfId="0" applyAlignment="1" applyFont="1">
      <alignment vertical="bottom"/>
    </xf>
    <xf borderId="1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43"/>
    <col customWidth="1" min="2" max="2" width="11.86"/>
    <col customWidth="1" min="3" max="3" width="15.57"/>
    <col customWidth="1" min="4" max="4" width="20.14"/>
    <col customWidth="1" min="5" max="5" width="9.43"/>
    <col customWidth="1" min="6" max="6" width="9.29"/>
    <col customWidth="1" min="7" max="7" width="10.0"/>
    <col customWidth="1" min="8" max="8" width="10.71"/>
    <col customWidth="1" min="9" max="9" width="20.14"/>
    <col customWidth="1" min="10" max="10" width="15.29"/>
    <col customWidth="1" min="11" max="26" width="10.71"/>
  </cols>
  <sheetData>
    <row r="1" ht="14.2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5"/>
    </row>
    <row r="2" ht="14.25" customHeight="1">
      <c r="A2" s="6" t="s">
        <v>3</v>
      </c>
      <c r="B2" s="7"/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I2" s="9" t="s">
        <v>9</v>
      </c>
      <c r="J2" s="5"/>
    </row>
    <row r="3" ht="14.25" customHeight="1">
      <c r="A3" s="10" t="s">
        <v>10</v>
      </c>
      <c r="B3" s="11">
        <v>8.0</v>
      </c>
      <c r="C3" s="12">
        <v>8.0</v>
      </c>
      <c r="D3" s="12">
        <v>8.0</v>
      </c>
      <c r="E3" s="12">
        <v>0.0</v>
      </c>
      <c r="F3" s="12">
        <v>0.0</v>
      </c>
      <c r="G3" s="12">
        <v>0.0</v>
      </c>
      <c r="I3" s="13" t="s">
        <v>11</v>
      </c>
      <c r="J3" s="13" t="s">
        <v>12</v>
      </c>
    </row>
    <row r="4" ht="14.25" customHeight="1">
      <c r="A4" s="10" t="s">
        <v>13</v>
      </c>
      <c r="B4" s="11">
        <v>4.0</v>
      </c>
      <c r="C4" s="12">
        <v>6.0</v>
      </c>
      <c r="D4" s="12">
        <v>6.0</v>
      </c>
      <c r="E4" s="12">
        <v>1.0</v>
      </c>
      <c r="F4" s="12">
        <v>1.0</v>
      </c>
      <c r="G4" s="12">
        <v>2.0</v>
      </c>
      <c r="I4" s="14" t="s">
        <v>4</v>
      </c>
      <c r="J4" s="14" t="s">
        <v>14</v>
      </c>
    </row>
    <row r="5" ht="14.25" customHeight="1">
      <c r="A5" s="10" t="s">
        <v>15</v>
      </c>
      <c r="B5" s="11">
        <v>2.0</v>
      </c>
      <c r="C5" s="12">
        <v>8.0</v>
      </c>
      <c r="D5" s="12">
        <v>8.0</v>
      </c>
      <c r="E5" s="12">
        <v>0.0</v>
      </c>
      <c r="F5" s="12">
        <v>0.0</v>
      </c>
      <c r="G5" s="12">
        <v>0.0</v>
      </c>
      <c r="I5" s="14" t="s">
        <v>5</v>
      </c>
      <c r="J5" s="15" t="s">
        <v>16</v>
      </c>
    </row>
    <row r="6" ht="14.25" customHeight="1">
      <c r="A6" s="10" t="s">
        <v>17</v>
      </c>
      <c r="B6" s="11">
        <v>1.0</v>
      </c>
      <c r="C6" s="12">
        <v>6.0</v>
      </c>
      <c r="D6" s="12">
        <v>6.0</v>
      </c>
      <c r="E6" s="12">
        <v>1.0</v>
      </c>
      <c r="F6" s="12">
        <v>1.0</v>
      </c>
      <c r="G6" s="12">
        <v>2.0</v>
      </c>
      <c r="I6" s="14" t="s">
        <v>6</v>
      </c>
      <c r="J6" s="14" t="s">
        <v>14</v>
      </c>
    </row>
    <row r="7" ht="14.25" customHeight="1">
      <c r="A7" s="10" t="s">
        <v>18</v>
      </c>
      <c r="B7" s="11">
        <v>1.0</v>
      </c>
      <c r="C7" s="12">
        <v>8.0</v>
      </c>
      <c r="D7" s="12">
        <v>8.0</v>
      </c>
      <c r="E7" s="12">
        <v>0.0</v>
      </c>
      <c r="F7" s="12">
        <v>0.0</v>
      </c>
      <c r="G7" s="12">
        <v>0.0</v>
      </c>
      <c r="I7" s="14" t="s">
        <v>7</v>
      </c>
      <c r="J7" s="14" t="s">
        <v>14</v>
      </c>
    </row>
    <row r="8" ht="14.25" customHeight="1">
      <c r="A8" s="10" t="s">
        <v>19</v>
      </c>
      <c r="B8" s="11">
        <v>2.0</v>
      </c>
      <c r="C8" s="12">
        <v>4.0</v>
      </c>
      <c r="D8" s="12">
        <v>6.0</v>
      </c>
      <c r="E8" s="12">
        <v>2.0</v>
      </c>
      <c r="F8" s="12">
        <v>2.0</v>
      </c>
      <c r="G8" s="12">
        <v>2.0</v>
      </c>
      <c r="I8" s="14" t="s">
        <v>8</v>
      </c>
      <c r="J8" s="14" t="s">
        <v>16</v>
      </c>
    </row>
    <row r="9" ht="14.25" customHeight="1">
      <c r="A9" s="10" t="s">
        <v>20</v>
      </c>
      <c r="B9" s="11">
        <v>2.0</v>
      </c>
      <c r="C9" s="12">
        <v>4.0</v>
      </c>
      <c r="D9" s="12">
        <v>6.0</v>
      </c>
      <c r="E9" s="12">
        <v>2.0</v>
      </c>
      <c r="F9" s="12">
        <v>2.0</v>
      </c>
      <c r="G9" s="12">
        <v>2.0</v>
      </c>
    </row>
    <row r="10" ht="14.25" customHeight="1">
      <c r="A10" s="10" t="s">
        <v>21</v>
      </c>
      <c r="B10" s="11">
        <v>1.0</v>
      </c>
      <c r="C10" s="12">
        <v>3.0</v>
      </c>
      <c r="D10" s="12">
        <v>4.0</v>
      </c>
      <c r="E10" s="12">
        <v>3.0</v>
      </c>
      <c r="F10" s="12">
        <v>2.0</v>
      </c>
      <c r="G10" s="12">
        <v>4.0</v>
      </c>
    </row>
    <row r="11" ht="14.25" customHeight="1">
      <c r="A11" s="10" t="s">
        <v>22</v>
      </c>
      <c r="B11" s="11">
        <v>3.0</v>
      </c>
      <c r="C11" s="12">
        <v>4.0</v>
      </c>
      <c r="D11" s="12">
        <v>3.0</v>
      </c>
      <c r="E11" s="12">
        <v>2.0</v>
      </c>
      <c r="F11" s="12">
        <v>2.0</v>
      </c>
      <c r="G11" s="12">
        <v>5.0</v>
      </c>
    </row>
    <row r="12" ht="14.25" customHeight="1">
      <c r="A12" s="10" t="s">
        <v>23</v>
      </c>
      <c r="B12" s="11">
        <v>3.0</v>
      </c>
      <c r="C12" s="12">
        <v>5.0</v>
      </c>
      <c r="D12" s="12">
        <v>5.0</v>
      </c>
      <c r="E12" s="12">
        <v>2.0</v>
      </c>
      <c r="F12" s="12">
        <v>1.0</v>
      </c>
      <c r="G12" s="12">
        <v>3.0</v>
      </c>
    </row>
    <row r="13" ht="14.25" customHeight="1">
      <c r="A13" s="10" t="s">
        <v>24</v>
      </c>
      <c r="B13" s="11">
        <v>1.0</v>
      </c>
      <c r="C13" s="12">
        <v>8.0</v>
      </c>
      <c r="D13" s="12">
        <v>8.0</v>
      </c>
      <c r="E13" s="12">
        <v>0.0</v>
      </c>
      <c r="F13" s="12">
        <v>0.0</v>
      </c>
      <c r="G13" s="12">
        <v>0.0</v>
      </c>
    </row>
    <row r="14" ht="14.25" customHeight="1">
      <c r="A14" s="10" t="s">
        <v>25</v>
      </c>
      <c r="B14" s="11">
        <v>1.0</v>
      </c>
      <c r="C14" s="12">
        <v>8.0</v>
      </c>
      <c r="D14" s="12">
        <v>8.0</v>
      </c>
      <c r="E14" s="12">
        <v>0.0</v>
      </c>
      <c r="F14" s="12">
        <v>0.0</v>
      </c>
      <c r="G14" s="12">
        <v>0.0</v>
      </c>
    </row>
    <row r="15" ht="14.25" customHeight="1">
      <c r="A15" s="16" t="s">
        <v>26</v>
      </c>
      <c r="B15" s="17"/>
      <c r="C15" s="18" t="s">
        <v>4</v>
      </c>
      <c r="D15" s="18" t="s">
        <v>5</v>
      </c>
      <c r="E15" s="18" t="s">
        <v>6</v>
      </c>
      <c r="F15" s="18" t="s">
        <v>7</v>
      </c>
      <c r="G15" s="18" t="s">
        <v>8</v>
      </c>
    </row>
    <row r="16" ht="14.25" customHeight="1">
      <c r="A16" s="11" t="s">
        <v>27</v>
      </c>
      <c r="B16" s="11">
        <v>2.0</v>
      </c>
      <c r="C16" s="12">
        <v>3.0</v>
      </c>
      <c r="D16" s="12">
        <v>4.0</v>
      </c>
      <c r="E16" s="12">
        <v>3.0</v>
      </c>
      <c r="F16" s="12">
        <v>2.0</v>
      </c>
      <c r="G16" s="12">
        <v>4.0</v>
      </c>
    </row>
    <row r="17" ht="14.25" customHeight="1">
      <c r="A17" s="11" t="s">
        <v>28</v>
      </c>
      <c r="B17" s="11">
        <v>2.0</v>
      </c>
      <c r="C17" s="12">
        <v>6.0</v>
      </c>
      <c r="D17" s="12">
        <v>6.0</v>
      </c>
      <c r="E17" s="12">
        <v>1.0</v>
      </c>
      <c r="F17" s="12">
        <v>1.0</v>
      </c>
      <c r="G17" s="12">
        <v>2.0</v>
      </c>
    </row>
    <row r="18" ht="14.25" customHeight="1">
      <c r="A18" s="11" t="s">
        <v>29</v>
      </c>
      <c r="B18" s="11">
        <v>2.0</v>
      </c>
      <c r="C18" s="12">
        <v>6.0</v>
      </c>
      <c r="D18" s="12">
        <v>6.0</v>
      </c>
      <c r="E18" s="12">
        <v>1.0</v>
      </c>
      <c r="F18" s="12">
        <v>1.0</v>
      </c>
      <c r="G18" s="12">
        <v>2.0</v>
      </c>
    </row>
    <row r="19" ht="14.25" customHeight="1">
      <c r="A19" s="11" t="s">
        <v>30</v>
      </c>
      <c r="B19" s="11">
        <v>2.0</v>
      </c>
      <c r="C19" s="12">
        <v>6.0</v>
      </c>
      <c r="D19" s="12">
        <v>6.0</v>
      </c>
      <c r="E19" s="12">
        <v>1.0</v>
      </c>
      <c r="F19" s="12">
        <v>1.0</v>
      </c>
      <c r="G19" s="12">
        <v>2.0</v>
      </c>
    </row>
    <row r="20" ht="14.25" customHeight="1">
      <c r="A20" s="11" t="s">
        <v>31</v>
      </c>
      <c r="B20" s="11">
        <v>2.0</v>
      </c>
      <c r="C20" s="12">
        <v>8.0</v>
      </c>
      <c r="D20" s="12">
        <v>8.0</v>
      </c>
      <c r="E20" s="12">
        <v>0.0</v>
      </c>
      <c r="F20" s="12">
        <v>0.0</v>
      </c>
      <c r="G20" s="12">
        <v>0.0</v>
      </c>
    </row>
    <row r="21" ht="14.25" customHeight="1">
      <c r="A21" s="11" t="s">
        <v>32</v>
      </c>
      <c r="B21" s="11">
        <v>2.0</v>
      </c>
      <c r="C21" s="12">
        <v>4.0</v>
      </c>
      <c r="D21" s="12">
        <v>8.0</v>
      </c>
      <c r="E21" s="12">
        <v>4.0</v>
      </c>
      <c r="F21" s="12">
        <v>0.0</v>
      </c>
      <c r="G21" s="12">
        <v>0.0</v>
      </c>
    </row>
    <row r="22" ht="14.25" customHeight="1">
      <c r="A22" s="11" t="s">
        <v>33</v>
      </c>
      <c r="B22" s="11">
        <v>5.0</v>
      </c>
      <c r="C22" s="12">
        <v>2.0</v>
      </c>
      <c r="D22" s="12">
        <v>8.0</v>
      </c>
      <c r="E22" s="12">
        <v>6.0</v>
      </c>
      <c r="F22" s="12">
        <v>0.0</v>
      </c>
      <c r="G22" s="12">
        <v>0.0</v>
      </c>
    </row>
    <row r="23" ht="14.25" customHeight="1">
      <c r="A23" s="11" t="s">
        <v>34</v>
      </c>
      <c r="B23" s="11">
        <v>5.0</v>
      </c>
      <c r="C23" s="12">
        <v>2.0</v>
      </c>
      <c r="D23" s="12">
        <v>8.0</v>
      </c>
      <c r="E23" s="12">
        <v>6.0</v>
      </c>
      <c r="F23" s="12">
        <v>0.0</v>
      </c>
      <c r="G23" s="12">
        <v>0.0</v>
      </c>
    </row>
    <row r="24" ht="14.25" customHeight="1">
      <c r="A24" s="11" t="s">
        <v>35</v>
      </c>
      <c r="B24" s="11">
        <v>5.0</v>
      </c>
      <c r="C24" s="12">
        <v>2.0</v>
      </c>
      <c r="D24" s="12">
        <v>8.0</v>
      </c>
      <c r="E24" s="12">
        <v>6.0</v>
      </c>
      <c r="F24" s="12">
        <v>0.0</v>
      </c>
      <c r="G24" s="12">
        <v>0.0</v>
      </c>
    </row>
    <row r="25" ht="14.25" customHeight="1">
      <c r="A25" s="11" t="s">
        <v>36</v>
      </c>
      <c r="B25" s="11">
        <v>5.0</v>
      </c>
      <c r="C25" s="12">
        <v>2.0</v>
      </c>
      <c r="D25" s="12">
        <v>8.0</v>
      </c>
      <c r="E25" s="12">
        <v>6.0</v>
      </c>
      <c r="F25" s="12">
        <v>0.0</v>
      </c>
      <c r="G25" s="12">
        <v>0.0</v>
      </c>
    </row>
    <row r="26" ht="14.25" customHeight="1">
      <c r="A26" s="19" t="s">
        <v>37</v>
      </c>
      <c r="B26" s="17"/>
      <c r="C26" s="18" t="s">
        <v>4</v>
      </c>
      <c r="D26" s="18" t="s">
        <v>5</v>
      </c>
      <c r="E26" s="18" t="s">
        <v>6</v>
      </c>
      <c r="F26" s="18" t="s">
        <v>7</v>
      </c>
      <c r="G26" s="18" t="s">
        <v>8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4.25" customHeight="1">
      <c r="A27" s="11" t="s">
        <v>38</v>
      </c>
      <c r="B27" s="11">
        <v>2.0</v>
      </c>
      <c r="C27" s="12">
        <v>2.0</v>
      </c>
      <c r="D27" s="12">
        <v>8.0</v>
      </c>
      <c r="E27" s="12">
        <v>6.0</v>
      </c>
      <c r="F27" s="12">
        <v>0.0</v>
      </c>
      <c r="G27" s="12">
        <v>0.0</v>
      </c>
    </row>
    <row r="28" ht="14.25" customHeight="1">
      <c r="A28" s="11" t="s">
        <v>39</v>
      </c>
      <c r="B28" s="11">
        <v>5.0</v>
      </c>
      <c r="C28" s="12">
        <v>8.0</v>
      </c>
      <c r="D28" s="12">
        <v>8.0</v>
      </c>
      <c r="E28" s="12">
        <v>0.0</v>
      </c>
      <c r="F28" s="12">
        <v>0.0</v>
      </c>
      <c r="G28" s="12">
        <v>0.0</v>
      </c>
    </row>
    <row r="29" ht="14.25" customHeight="1">
      <c r="A29" s="11" t="s">
        <v>40</v>
      </c>
      <c r="B29" s="11">
        <v>4.0</v>
      </c>
      <c r="C29" s="12">
        <v>1.0</v>
      </c>
      <c r="D29" s="12">
        <v>8.0</v>
      </c>
      <c r="E29" s="12">
        <v>5.0</v>
      </c>
      <c r="F29" s="12">
        <v>2.0</v>
      </c>
      <c r="G29" s="12">
        <v>0.0</v>
      </c>
    </row>
    <row r="30" ht="14.25" customHeight="1">
      <c r="A30" s="21" t="s">
        <v>41</v>
      </c>
      <c r="B30" s="17"/>
      <c r="C30" s="18" t="s">
        <v>4</v>
      </c>
      <c r="D30" s="18" t="s">
        <v>5</v>
      </c>
      <c r="E30" s="18" t="s">
        <v>6</v>
      </c>
      <c r="F30" s="18" t="s">
        <v>7</v>
      </c>
      <c r="G30" s="18" t="s">
        <v>8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4.25" customHeight="1">
      <c r="A31" s="14" t="s">
        <v>42</v>
      </c>
      <c r="B31" s="11">
        <v>7.0</v>
      </c>
      <c r="C31" s="12">
        <v>2.0</v>
      </c>
      <c r="D31" s="12">
        <v>8.0</v>
      </c>
      <c r="E31" s="12">
        <v>3.0</v>
      </c>
      <c r="F31" s="12">
        <v>3.0</v>
      </c>
      <c r="G31" s="12">
        <v>0.0</v>
      </c>
    </row>
    <row r="32" ht="14.25" customHeight="1">
      <c r="A32" s="14" t="s">
        <v>43</v>
      </c>
      <c r="B32" s="11">
        <v>7.0</v>
      </c>
      <c r="C32" s="12">
        <v>2.0</v>
      </c>
      <c r="D32" s="12">
        <v>8.0</v>
      </c>
      <c r="E32" s="12">
        <v>1.0</v>
      </c>
      <c r="F32" s="12">
        <v>5.0</v>
      </c>
      <c r="G32" s="12">
        <v>0.0</v>
      </c>
    </row>
    <row r="33" ht="14.25" customHeight="1">
      <c r="A33" s="14" t="s">
        <v>44</v>
      </c>
      <c r="B33" s="11">
        <v>7.0</v>
      </c>
      <c r="C33" s="12">
        <v>2.0</v>
      </c>
      <c r="D33" s="12">
        <v>8.0</v>
      </c>
      <c r="E33" s="12">
        <v>2.0</v>
      </c>
      <c r="F33" s="12">
        <v>4.0</v>
      </c>
      <c r="G33" s="12">
        <v>0.0</v>
      </c>
    </row>
    <row r="34" ht="14.25" customHeight="1">
      <c r="A34" s="14" t="s">
        <v>45</v>
      </c>
      <c r="B34" s="11">
        <v>7.0</v>
      </c>
      <c r="C34" s="12">
        <v>2.0</v>
      </c>
      <c r="D34" s="12">
        <v>8.0</v>
      </c>
      <c r="E34" s="12">
        <v>3.0</v>
      </c>
      <c r="F34" s="12">
        <v>3.0</v>
      </c>
      <c r="G34" s="12">
        <v>0.0</v>
      </c>
    </row>
    <row r="35" ht="14.25" customHeight="1">
      <c r="A35" s="21" t="s">
        <v>46</v>
      </c>
      <c r="B35" s="21"/>
      <c r="C35" s="18" t="s">
        <v>4</v>
      </c>
      <c r="D35" s="18" t="s">
        <v>5</v>
      </c>
      <c r="E35" s="18" t="s">
        <v>6</v>
      </c>
      <c r="F35" s="18" t="s">
        <v>7</v>
      </c>
      <c r="G35" s="18" t="s">
        <v>8</v>
      </c>
    </row>
    <row r="36" ht="14.25" customHeight="1">
      <c r="A36" s="14" t="s">
        <v>47</v>
      </c>
      <c r="B36" s="11">
        <v>1.0</v>
      </c>
      <c r="C36" s="12">
        <v>8.0</v>
      </c>
      <c r="D36" s="12">
        <v>8.0</v>
      </c>
      <c r="E36" s="12">
        <v>0.0</v>
      </c>
      <c r="F36" s="12">
        <v>0.0</v>
      </c>
      <c r="G36" s="12">
        <v>0.0</v>
      </c>
    </row>
    <row r="37" ht="14.25" customHeight="1">
      <c r="A37" s="14" t="s">
        <v>48</v>
      </c>
      <c r="B37" s="11">
        <v>1.0</v>
      </c>
      <c r="C37" s="12">
        <v>8.0</v>
      </c>
      <c r="D37" s="12">
        <v>8.0</v>
      </c>
      <c r="E37" s="12">
        <v>0.0</v>
      </c>
      <c r="F37" s="12">
        <v>0.0</v>
      </c>
      <c r="G37" s="12">
        <v>0.0</v>
      </c>
    </row>
    <row r="38" ht="14.25" customHeight="1">
      <c r="B38" s="22">
        <f>SUM(B3:B37)</f>
        <v>102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C1:G1"/>
    <mergeCell ref="I2:J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3.71"/>
    <col customWidth="1" min="7" max="7" width="4.86"/>
    <col customWidth="1" min="8" max="8" width="40.0"/>
    <col customWidth="1" min="9" max="9" width="31.14"/>
    <col customWidth="1" min="10" max="10" width="16.0"/>
    <col customWidth="1" min="11" max="11" width="15.29"/>
    <col customWidth="1" min="12" max="26" width="10.71"/>
  </cols>
  <sheetData>
    <row r="2">
      <c r="A2" s="13" t="s">
        <v>49</v>
      </c>
      <c r="B2" s="13" t="s">
        <v>50</v>
      </c>
      <c r="C2" s="23" t="s">
        <v>51</v>
      </c>
      <c r="D2" s="24" t="s">
        <v>52</v>
      </c>
      <c r="E2" s="13" t="s">
        <v>53</v>
      </c>
      <c r="F2" s="13" t="s">
        <v>54</v>
      </c>
      <c r="H2" s="25" t="s">
        <v>55</v>
      </c>
      <c r="I2" s="26"/>
      <c r="J2" s="26"/>
      <c r="K2" s="26"/>
    </row>
    <row r="3">
      <c r="A3" s="14" t="s">
        <v>56</v>
      </c>
      <c r="B3" s="27" t="s">
        <v>4</v>
      </c>
      <c r="C3" s="15" t="s">
        <v>14</v>
      </c>
      <c r="D3" s="28">
        <f>$J$4</f>
        <v>10000</v>
      </c>
      <c r="E3" s="29">
        <f>(EDT!B$3*EDT!C$3)+(EDT!B$4*EDT!C$4)+(EDT!B$5*EDT!C$5)+(EDT!B$6*EDT!C$6)+(EDT!B$7*EDT!C$7)+(EDT!B$8*EDT!C$8)+(EDT!B$9*EDT!C$9)+(EDT!B$10*EDT!C$10)+(EDT!B$11*EDT!C$11)+(EDT!B$12*EDT!C$12)+(EDT!B$13*EDT!C$13)+(EDT!B$14*EDT!C$14)</f>
        <v>180</v>
      </c>
      <c r="F3" s="30">
        <f t="shared" ref="F3:F7" si="1">D3*E3</f>
        <v>1800000</v>
      </c>
      <c r="H3" s="13" t="s">
        <v>50</v>
      </c>
      <c r="I3" s="23" t="s">
        <v>51</v>
      </c>
      <c r="J3" s="23" t="s">
        <v>57</v>
      </c>
      <c r="K3" s="23" t="s">
        <v>58</v>
      </c>
    </row>
    <row r="4">
      <c r="A4" s="14" t="s">
        <v>59</v>
      </c>
      <c r="B4" s="27" t="s">
        <v>5</v>
      </c>
      <c r="C4" s="15" t="s">
        <v>16</v>
      </c>
      <c r="D4" s="28">
        <f>$J$5</f>
        <v>5555.555556</v>
      </c>
      <c r="E4" s="29">
        <f>(EDT!B$3*EDT!D$3)+(EDT!B$4*EDT!D$4)+(EDT!B$5*EDT!D$5)+(EDT!B$6*EDT!D$6)+(EDT!B$7*EDT!D$7)+(EDT!B$8*EDT!D$8)+(EDT!B$9*EDT!D$9)+(EDT!B$10*EDT!D$10)+(EDT!B$11*EDT!D$11)+(EDT!B$12*EDT!D$12)+(EDT!B$13*EDT!D$13)+(EDT!B$14*EDT!D$14)</f>
        <v>186</v>
      </c>
      <c r="F4" s="30">
        <f t="shared" si="1"/>
        <v>1033333.333</v>
      </c>
      <c r="H4" s="27" t="s">
        <v>4</v>
      </c>
      <c r="I4" s="15" t="s">
        <v>14</v>
      </c>
      <c r="J4" s="31">
        <f t="shared" ref="J4:J8" si="2">K4/180</f>
        <v>10000</v>
      </c>
      <c r="K4" s="31">
        <v>1800000.0</v>
      </c>
    </row>
    <row r="5">
      <c r="A5" s="14" t="s">
        <v>6</v>
      </c>
      <c r="B5" s="27" t="s">
        <v>60</v>
      </c>
      <c r="C5" s="15" t="s">
        <v>14</v>
      </c>
      <c r="D5" s="28">
        <f>$J$6</f>
        <v>7222.222222</v>
      </c>
      <c r="E5" s="29">
        <f>(EDT!B$3*EDT!E$3)+(EDT!B$4*EDT!E$4)+(EDT!B$5*EDT!E$5)+(EDT!B$6*EDT!E$6)+(EDT!B$7*EDT!E$7)+(EDT!B$8*EDT!E$8)+(EDT!B$9*EDT!E$9)+(EDT!B$10*EDT!E$10)+(EDT!B$11*EDT!E$11)+(EDT!B$12*EDT!E$12)+(EDT!B$13*EDT!E$13)+(EDT!B$14*EDT!E$14)</f>
        <v>28</v>
      </c>
      <c r="F5" s="30">
        <f t="shared" si="1"/>
        <v>202222.2222</v>
      </c>
      <c r="H5" s="27" t="s">
        <v>5</v>
      </c>
      <c r="I5" s="15" t="s">
        <v>16</v>
      </c>
      <c r="J5" s="31">
        <f t="shared" si="2"/>
        <v>5555.555556</v>
      </c>
      <c r="K5" s="31">
        <v>1000000.0</v>
      </c>
    </row>
    <row r="6">
      <c r="A6" s="14" t="s">
        <v>7</v>
      </c>
      <c r="B6" s="27" t="s">
        <v>61</v>
      </c>
      <c r="C6" s="15" t="s">
        <v>14</v>
      </c>
      <c r="D6" s="28">
        <f>$J$7</f>
        <v>7777.777778</v>
      </c>
      <c r="E6" s="29">
        <f>(EDT!B$3*EDT!F$3)+(EDT!B$4*EDT!F$4)+(EDT!B$5*EDT!F$5)+(EDT!B$6*EDT!F$6)+(EDT!B$7*EDT!F$7)+(EDT!B$8*EDT!F$8)+(EDT!B$9*EDT!F$9)+(EDT!B$10*EDT!F$10)+(EDT!B$11*EDT!F$11)+(EDT!B$12*EDT!F$12)+(EDT!B$13*EDT!F$13)+(EDT!B$14*EDT!F$14)</f>
        <v>24</v>
      </c>
      <c r="F6" s="30">
        <f t="shared" si="1"/>
        <v>186666.6667</v>
      </c>
      <c r="H6" s="27" t="s">
        <v>62</v>
      </c>
      <c r="I6" s="15" t="s">
        <v>14</v>
      </c>
      <c r="J6" s="31">
        <f t="shared" si="2"/>
        <v>7222.222222</v>
      </c>
      <c r="K6" s="31">
        <v>1300000.0</v>
      </c>
    </row>
    <row r="7">
      <c r="A7" s="14" t="s">
        <v>63</v>
      </c>
      <c r="B7" s="27" t="s">
        <v>8</v>
      </c>
      <c r="C7" s="15" t="s">
        <v>16</v>
      </c>
      <c r="D7" s="28">
        <f>$J$8</f>
        <v>6666.666667</v>
      </c>
      <c r="E7" s="29">
        <f>(EDT!B$3*EDT!G$3)+(EDT!B$4*EDT!G$4)+(EDT!B$5*EDT!G$5)+(EDT!B$6*EDT!C$6)+(EDT!B$7*EDT!G$7)+(EDT!B$8*EDT!G$8)+(EDT!B$9*EDT!G$9)+(EDT!B$10*EDT!G$10)+(EDT!B$11*EDT!G$11)+(EDT!B$12*EDT!G$12)+(EDT!B$13*EDT!G$13)+(EDT!B$14*EDT!G$14)</f>
        <v>50</v>
      </c>
      <c r="F7" s="30">
        <f t="shared" si="1"/>
        <v>333333.3333</v>
      </c>
      <c r="H7" s="27" t="s">
        <v>61</v>
      </c>
      <c r="I7" s="15" t="s">
        <v>14</v>
      </c>
      <c r="J7" s="31">
        <f t="shared" si="2"/>
        <v>7777.777778</v>
      </c>
      <c r="K7" s="31">
        <v>1400000.0</v>
      </c>
    </row>
    <row r="8">
      <c r="A8" s="14"/>
      <c r="B8" s="9" t="s">
        <v>64</v>
      </c>
      <c r="C8" s="4"/>
      <c r="D8" s="4"/>
      <c r="E8" s="5"/>
      <c r="F8" s="30">
        <f>SUM(F3:F7)</f>
        <v>3555555.556</v>
      </c>
      <c r="H8" s="27" t="s">
        <v>8</v>
      </c>
      <c r="I8" s="15" t="s">
        <v>16</v>
      </c>
      <c r="J8" s="31">
        <f t="shared" si="2"/>
        <v>6666.666667</v>
      </c>
      <c r="K8" s="31">
        <v>1200000.0</v>
      </c>
    </row>
    <row r="11">
      <c r="A11" s="13" t="s">
        <v>49</v>
      </c>
      <c r="B11" s="13" t="s">
        <v>50</v>
      </c>
      <c r="C11" s="23" t="s">
        <v>51</v>
      </c>
      <c r="D11" s="24" t="s">
        <v>65</v>
      </c>
      <c r="E11" s="13" t="s">
        <v>53</v>
      </c>
      <c r="F11" s="13" t="s">
        <v>66</v>
      </c>
      <c r="H11" s="25" t="s">
        <v>67</v>
      </c>
      <c r="I11" s="26"/>
    </row>
    <row r="12">
      <c r="A12" s="14" t="s">
        <v>56</v>
      </c>
      <c r="B12" s="27" t="s">
        <v>4</v>
      </c>
      <c r="C12" s="15" t="s">
        <v>14</v>
      </c>
      <c r="D12" s="28">
        <f>$J$4</f>
        <v>10000</v>
      </c>
      <c r="E12" s="29">
        <f>(EDT!B$16*EDT!C$16)+(EDT!B$17*EDT!C$17)+(EDT!B$18*EDT!C$18)+(EDT!B$19*EDT!C$19)+(EDT!B$20*EDT!C$20)+(EDT!B$21*EDT!C$21)+(EDT!B$22*EDT!C$22)+(EDT!B$23*EDT!C$23)+(EDT!B$24*EDT!C$24)+(EDT!B$25*EDT!C$25)</f>
        <v>106</v>
      </c>
      <c r="F12" s="30">
        <f t="shared" ref="F12:F16" si="3">D12*E12</f>
        <v>1060000</v>
      </c>
      <c r="H12" s="14" t="s">
        <v>4</v>
      </c>
      <c r="I12" s="30">
        <f t="shared" ref="I12:I16" si="4">F3+F12+F21+F30+F39</f>
        <v>4060000</v>
      </c>
    </row>
    <row r="13">
      <c r="A13" s="14" t="s">
        <v>59</v>
      </c>
      <c r="B13" s="27" t="s">
        <v>5</v>
      </c>
      <c r="C13" s="15" t="s">
        <v>16</v>
      </c>
      <c r="D13" s="28">
        <f>$J$5</f>
        <v>5555.555556</v>
      </c>
      <c r="E13" s="29">
        <f>(EDT!B$16*EDT!D$16)+(EDT!B$17*EDT!D$17)+(EDT!B$18*EDT!D$18)+(EDT!B$19*EDT!D$19)+(EDT!B$20*EDT!D$20)+(EDT!B$21*EDT!D$21)+(EDT!B$22*EDT!D$22)+(EDT!B$23*EDT!D$23)+(EDT!B$24*EDT!D$24)+(EDT!B$25*EDT!D$25)</f>
        <v>236</v>
      </c>
      <c r="F13" s="30">
        <f t="shared" si="3"/>
        <v>1311111.111</v>
      </c>
      <c r="H13" s="14" t="s">
        <v>5</v>
      </c>
      <c r="I13" s="30">
        <f t="shared" si="4"/>
        <v>4166666.667</v>
      </c>
    </row>
    <row r="14">
      <c r="A14" s="14" t="s">
        <v>6</v>
      </c>
      <c r="B14" s="27" t="s">
        <v>60</v>
      </c>
      <c r="C14" s="15" t="s">
        <v>14</v>
      </c>
      <c r="D14" s="28">
        <f>$J$6</f>
        <v>7222.222222</v>
      </c>
      <c r="E14" s="29">
        <f>(EDT!B$16*EDT!E$16)+(EDT!B$17*EDT!E$17)+(EDT!B$18*EDT!E$18)+(EDT!B$19*EDT!E$19)+(EDT!B$20*EDT!E$20)+(EDT!B$21*EDT!E$21)+(EDT!B$22*EDT!E$22)+(EDT!B$23*EDT!E$23)+(EDT!B$24*EDT!E$24)+(EDT!B$25*EDT!E$25)</f>
        <v>140</v>
      </c>
      <c r="F14" s="30">
        <f t="shared" si="3"/>
        <v>1011111.111</v>
      </c>
      <c r="H14" s="14" t="s">
        <v>62</v>
      </c>
      <c r="I14" s="30">
        <f t="shared" si="4"/>
        <v>1899444.444</v>
      </c>
    </row>
    <row r="15">
      <c r="A15" s="14" t="s">
        <v>7</v>
      </c>
      <c r="B15" s="27" t="s">
        <v>61</v>
      </c>
      <c r="C15" s="15" t="s">
        <v>14</v>
      </c>
      <c r="D15" s="28">
        <f>$J$7</f>
        <v>7777.777778</v>
      </c>
      <c r="E15" s="29">
        <f>(EDT!B$16*EDT!F$16)+(EDT!B$17*EDT!F$17)+(EDT!B$18*EDT!F$18)+(EDT!B$19*EDT!F$19)+(EDT!B$20*EDT!F$20)+(EDT!B$21*EDT!F$21)+(EDT!B$22*EDT!F$22)+(EDT!B$23*EDT!F$23)+(EDT!B$24*EDT!F$24)+(EDT!B$25*EDT!F$25)</f>
        <v>10</v>
      </c>
      <c r="F15" s="30">
        <f t="shared" si="3"/>
        <v>77777.77778</v>
      </c>
      <c r="H15" s="14" t="s">
        <v>61</v>
      </c>
      <c r="I15" s="30">
        <f t="shared" si="4"/>
        <v>1143333.333</v>
      </c>
    </row>
    <row r="16">
      <c r="A16" s="14" t="s">
        <v>63</v>
      </c>
      <c r="B16" s="27" t="s">
        <v>8</v>
      </c>
      <c r="C16" s="15" t="s">
        <v>16</v>
      </c>
      <c r="D16" s="28">
        <f>$J$8</f>
        <v>6666.666667</v>
      </c>
      <c r="E16" s="29">
        <f>(EDT!B$16*EDT!G$16)+(EDT!B$17*EDT!G$17)+(EDT!B$18*EDT!G$18)+(EDT!B$19*EDT!G$19)+(EDT!B$20*EDT!G$20)+(EDT!B$21*EDT!G$21)+(EDT!B$22*EDT!G$22)+(EDT!B$23*EDT!G$23)+(EDT!B$24*EDT!G$24)+(EDT!B$25*EDT!G$25)</f>
        <v>20</v>
      </c>
      <c r="F16" s="30">
        <f t="shared" si="3"/>
        <v>133333.3333</v>
      </c>
      <c r="H16" s="14" t="s">
        <v>8</v>
      </c>
      <c r="I16" s="30">
        <f t="shared" si="4"/>
        <v>466666.6667</v>
      </c>
    </row>
    <row r="17">
      <c r="A17" s="14"/>
      <c r="B17" s="9" t="s">
        <v>68</v>
      </c>
      <c r="C17" s="4"/>
      <c r="D17" s="4"/>
      <c r="E17" s="5"/>
      <c r="F17" s="30">
        <f>SUM(F12:F16)</f>
        <v>3593333.333</v>
      </c>
      <c r="H17" s="32" t="s">
        <v>69</v>
      </c>
      <c r="I17" s="33">
        <f>SUM(I12:I16)</f>
        <v>11736111.11</v>
      </c>
    </row>
    <row r="20">
      <c r="A20" s="13" t="s">
        <v>49</v>
      </c>
      <c r="B20" s="13" t="s">
        <v>50</v>
      </c>
      <c r="C20" s="23" t="s">
        <v>51</v>
      </c>
      <c r="D20" s="24" t="s">
        <v>65</v>
      </c>
      <c r="E20" s="13" t="s">
        <v>53</v>
      </c>
      <c r="F20" s="13" t="s">
        <v>70</v>
      </c>
      <c r="H20" s="25" t="s">
        <v>71</v>
      </c>
      <c r="I20" s="26"/>
    </row>
    <row r="21" ht="15.75" customHeight="1">
      <c r="A21" s="14" t="s">
        <v>56</v>
      </c>
      <c r="B21" s="27" t="s">
        <v>4</v>
      </c>
      <c r="C21" s="15" t="s">
        <v>14</v>
      </c>
      <c r="D21" s="28">
        <f>$J$4</f>
        <v>10000</v>
      </c>
      <c r="E21" s="29">
        <f>(EDT!B$27*EDT!C$27)+(EDT!B$28*EDT!C$28)+(EDT!B$29*EDT!C$29)</f>
        <v>48</v>
      </c>
      <c r="F21" s="30">
        <f t="shared" ref="F21:F25" si="5">D21*E21</f>
        <v>480000</v>
      </c>
      <c r="H21" s="14" t="s">
        <v>3</v>
      </c>
      <c r="I21" s="30">
        <f>F8</f>
        <v>3555555.556</v>
      </c>
    </row>
    <row r="22" ht="15.75" customHeight="1">
      <c r="A22" s="14" t="s">
        <v>59</v>
      </c>
      <c r="B22" s="27" t="s">
        <v>5</v>
      </c>
      <c r="C22" s="15" t="s">
        <v>16</v>
      </c>
      <c r="D22" s="28">
        <f>$J$5</f>
        <v>5555.555556</v>
      </c>
      <c r="E22" s="29">
        <f>(EDT!B$27*EDT!D$27)+(EDT!B$28*EDT!D$28)+(EDT!B$29*EDT!D$29)</f>
        <v>88</v>
      </c>
      <c r="F22" s="30">
        <f t="shared" si="5"/>
        <v>488888.8889</v>
      </c>
      <c r="H22" s="14" t="s">
        <v>26</v>
      </c>
      <c r="I22" s="30">
        <f>F17</f>
        <v>3593333.333</v>
      </c>
    </row>
    <row r="23" ht="15.75" customHeight="1">
      <c r="A23" s="14" t="s">
        <v>6</v>
      </c>
      <c r="B23" s="27" t="s">
        <v>60</v>
      </c>
      <c r="C23" s="15" t="s">
        <v>14</v>
      </c>
      <c r="D23" s="28">
        <f>$J$6</f>
        <v>7222.222222</v>
      </c>
      <c r="E23" s="29">
        <f>(EDT!B$27*EDT!E$27)+(EDT!B$28*EDT!E$28)+(EDT!B$29*EDT!E$29)</f>
        <v>32</v>
      </c>
      <c r="F23" s="30">
        <f t="shared" si="5"/>
        <v>231111.1111</v>
      </c>
      <c r="H23" s="14" t="s">
        <v>72</v>
      </c>
      <c r="I23" s="30">
        <f>F26</f>
        <v>1262222.222</v>
      </c>
    </row>
    <row r="24" ht="15.75" customHeight="1">
      <c r="A24" s="14" t="s">
        <v>7</v>
      </c>
      <c r="B24" s="27" t="s">
        <v>61</v>
      </c>
      <c r="C24" s="15" t="s">
        <v>14</v>
      </c>
      <c r="D24" s="28">
        <f>$J$7</f>
        <v>7777.777778</v>
      </c>
      <c r="E24" s="29">
        <f>(EDT!B$27*EDT!F$27)+(EDT!B$28*EDT!F$28)+(EDT!B$29*EDT!F$29)</f>
        <v>8</v>
      </c>
      <c r="F24" s="30">
        <f t="shared" si="5"/>
        <v>62222.22222</v>
      </c>
      <c r="H24" s="14" t="s">
        <v>41</v>
      </c>
      <c r="I24" s="30">
        <f>F35</f>
        <v>3076111.111</v>
      </c>
    </row>
    <row r="25" ht="15.75" customHeight="1">
      <c r="A25" s="14" t="s">
        <v>63</v>
      </c>
      <c r="B25" s="27" t="s">
        <v>8</v>
      </c>
      <c r="C25" s="15" t="s">
        <v>16</v>
      </c>
      <c r="D25" s="28">
        <f>$J$8</f>
        <v>6666.666667</v>
      </c>
      <c r="E25" s="29">
        <f>(EDT!B$27*EDT!G$27)+(EDT!B$28*EDT!G$28)+(EDT!B$29*EDT!G$29)</f>
        <v>0</v>
      </c>
      <c r="F25" s="30">
        <f t="shared" si="5"/>
        <v>0</v>
      </c>
      <c r="H25" s="14" t="s">
        <v>46</v>
      </c>
      <c r="I25" s="30">
        <f>F44</f>
        <v>248888.8889</v>
      </c>
    </row>
    <row r="26" ht="15.75" customHeight="1">
      <c r="A26" s="14"/>
      <c r="B26" s="9" t="s">
        <v>73</v>
      </c>
      <c r="C26" s="4"/>
      <c r="D26" s="4"/>
      <c r="E26" s="5"/>
      <c r="F26" s="30">
        <f>SUM(F21:F25)</f>
        <v>1262222.222</v>
      </c>
      <c r="H26" s="32" t="s">
        <v>74</v>
      </c>
      <c r="I26" s="33">
        <f>SUM(I21:I25)</f>
        <v>11736111.11</v>
      </c>
    </row>
    <row r="27" ht="15.75" customHeight="1"/>
    <row r="28" ht="15.75" customHeight="1"/>
    <row r="29" ht="15.75" customHeight="1">
      <c r="A29" s="13" t="s">
        <v>49</v>
      </c>
      <c r="B29" s="13" t="s">
        <v>50</v>
      </c>
      <c r="C29" s="23" t="s">
        <v>51</v>
      </c>
      <c r="D29" s="24" t="s">
        <v>65</v>
      </c>
      <c r="E29" s="13" t="s">
        <v>53</v>
      </c>
      <c r="F29" s="13" t="s">
        <v>75</v>
      </c>
      <c r="H29" s="13" t="s">
        <v>76</v>
      </c>
      <c r="I29" s="34">
        <v>0.6</v>
      </c>
      <c r="J29" s="35" t="s">
        <v>77</v>
      </c>
    </row>
    <row r="30" ht="15.75" customHeight="1">
      <c r="A30" s="14" t="s">
        <v>56</v>
      </c>
      <c r="B30" s="27" t="s">
        <v>4</v>
      </c>
      <c r="C30" s="15" t="s">
        <v>14</v>
      </c>
      <c r="D30" s="28">
        <f>$J$4</f>
        <v>10000</v>
      </c>
      <c r="E30" s="29">
        <f>(EDT!B$31*EDT!C$31)+(EDT!B$32*EDT!C$32)+(EDT!B$33*EDT!C$33)+(EDT!B$34*EDT!C$34)</f>
        <v>56</v>
      </c>
      <c r="F30" s="30">
        <f t="shared" ref="F30:F34" si="6">D30*E30</f>
        <v>560000</v>
      </c>
      <c r="H30" s="14" t="s">
        <v>78</v>
      </c>
      <c r="I30" s="30">
        <f>I26*I29</f>
        <v>7041666.667</v>
      </c>
      <c r="J30" s="35" t="s">
        <v>79</v>
      </c>
    </row>
    <row r="31" ht="15.75" customHeight="1">
      <c r="A31" s="14" t="s">
        <v>59</v>
      </c>
      <c r="B31" s="27" t="s">
        <v>5</v>
      </c>
      <c r="C31" s="15" t="s">
        <v>16</v>
      </c>
      <c r="D31" s="28">
        <f>$J$5</f>
        <v>5555.555556</v>
      </c>
      <c r="E31" s="29">
        <f>(EDT!B$31*EDT!D$31)+(EDT!B$32*EDT!D$32)+(EDT!B$33*EDT!D$33)+(EDT!B$34*EDT!D$34)</f>
        <v>224</v>
      </c>
      <c r="F31" s="30">
        <f t="shared" si="6"/>
        <v>1244444.444</v>
      </c>
      <c r="H31" s="14" t="s">
        <v>80</v>
      </c>
      <c r="I31" s="30">
        <f>I26+I30</f>
        <v>18777777.78</v>
      </c>
      <c r="J31" s="35" t="s">
        <v>81</v>
      </c>
    </row>
    <row r="32" ht="15.75" customHeight="1">
      <c r="A32" s="14" t="s">
        <v>6</v>
      </c>
      <c r="B32" s="27" t="s">
        <v>60</v>
      </c>
      <c r="C32" s="15" t="s">
        <v>14</v>
      </c>
      <c r="D32" s="28">
        <f>$J$6</f>
        <v>7222.222222</v>
      </c>
      <c r="E32" s="29">
        <f>(EDT!B$31*EDT!E$31)+(EDT!B$32*EDT!E$32)+(EDT!B$33*EDT!E$33)+(EDT!B$34*EDT!E$34)</f>
        <v>63</v>
      </c>
      <c r="F32" s="30">
        <f t="shared" si="6"/>
        <v>455000</v>
      </c>
    </row>
    <row r="33" ht="15.75" customHeight="1">
      <c r="A33" s="14" t="s">
        <v>7</v>
      </c>
      <c r="B33" s="27" t="s">
        <v>61</v>
      </c>
      <c r="C33" s="15" t="s">
        <v>14</v>
      </c>
      <c r="D33" s="28">
        <f>$J$7</f>
        <v>7777.777778</v>
      </c>
      <c r="E33" s="29">
        <f>(EDT!B$31*EDT!F$31)+(EDT!B$32*EDT!F$32)+(EDT!B$33*EDT!F$33)+(EDT!B$34*EDT!F$34)</f>
        <v>105</v>
      </c>
      <c r="F33" s="30">
        <f t="shared" si="6"/>
        <v>816666.6667</v>
      </c>
    </row>
    <row r="34" ht="15.75" customHeight="1">
      <c r="A34" s="14" t="s">
        <v>63</v>
      </c>
      <c r="B34" s="27" t="s">
        <v>8</v>
      </c>
      <c r="C34" s="15" t="s">
        <v>16</v>
      </c>
      <c r="D34" s="28">
        <f>$J$8</f>
        <v>6666.666667</v>
      </c>
      <c r="E34" s="29">
        <f>(EDT!B$31*EDT!G$31)+(EDT!B$32*EDT!G$32)+(EDT!B$33*EDT!G$33)+(EDT!B$34*EDT!G$34)</f>
        <v>0</v>
      </c>
      <c r="F34" s="30">
        <f t="shared" si="6"/>
        <v>0</v>
      </c>
    </row>
    <row r="35" ht="15.75" customHeight="1">
      <c r="A35" s="14"/>
      <c r="B35" s="9" t="s">
        <v>82</v>
      </c>
      <c r="C35" s="4"/>
      <c r="D35" s="4"/>
      <c r="E35" s="5"/>
      <c r="F35" s="30">
        <f>SUM(F30:F34)</f>
        <v>3076111.111</v>
      </c>
    </row>
    <row r="36" ht="15.75" customHeight="1"/>
    <row r="37" ht="15.75" customHeight="1"/>
    <row r="38" ht="15.75" customHeight="1">
      <c r="A38" s="13" t="s">
        <v>49</v>
      </c>
      <c r="B38" s="13" t="s">
        <v>50</v>
      </c>
      <c r="C38" s="23" t="s">
        <v>51</v>
      </c>
      <c r="D38" s="24" t="s">
        <v>65</v>
      </c>
      <c r="E38" s="13" t="s">
        <v>53</v>
      </c>
      <c r="F38" s="36" t="s">
        <v>83</v>
      </c>
    </row>
    <row r="39" ht="15.75" customHeight="1">
      <c r="A39" s="14" t="s">
        <v>56</v>
      </c>
      <c r="B39" s="27" t="s">
        <v>4</v>
      </c>
      <c r="C39" s="15" t="s">
        <v>14</v>
      </c>
      <c r="D39" s="28">
        <f>$J$4</f>
        <v>10000</v>
      </c>
      <c r="E39" s="29">
        <f>(EDT!B$36*EDT!C$36)+(EDT!B$37*EDT!C$37)</f>
        <v>16</v>
      </c>
      <c r="F39" s="30">
        <f t="shared" ref="F39:F43" si="7">D39*E39</f>
        <v>160000</v>
      </c>
    </row>
    <row r="40" ht="15.75" customHeight="1">
      <c r="A40" s="14" t="s">
        <v>59</v>
      </c>
      <c r="B40" s="27" t="s">
        <v>5</v>
      </c>
      <c r="C40" s="15" t="s">
        <v>16</v>
      </c>
      <c r="D40" s="28">
        <f>$J$5</f>
        <v>5555.555556</v>
      </c>
      <c r="E40" s="29">
        <f>(EDT!B$36*EDT!D$36)+(EDT!B$37*EDT!D$37)</f>
        <v>16</v>
      </c>
      <c r="F40" s="30">
        <f t="shared" si="7"/>
        <v>88888.88889</v>
      </c>
    </row>
    <row r="41" ht="15.75" customHeight="1">
      <c r="A41" s="14" t="s">
        <v>6</v>
      </c>
      <c r="B41" s="27" t="s">
        <v>60</v>
      </c>
      <c r="C41" s="15" t="s">
        <v>14</v>
      </c>
      <c r="D41" s="28">
        <f>$J$6</f>
        <v>7222.222222</v>
      </c>
      <c r="E41" s="29">
        <f>(EDT!B$36*EDT!E$36)+(EDT!B$37*EDT!E$37)</f>
        <v>0</v>
      </c>
      <c r="F41" s="30">
        <f t="shared" si="7"/>
        <v>0</v>
      </c>
    </row>
    <row r="42" ht="15.75" customHeight="1">
      <c r="A42" s="14" t="s">
        <v>7</v>
      </c>
      <c r="B42" s="27" t="s">
        <v>61</v>
      </c>
      <c r="C42" s="15" t="s">
        <v>14</v>
      </c>
      <c r="D42" s="28">
        <f>$J$7</f>
        <v>7777.777778</v>
      </c>
      <c r="E42" s="29">
        <f>(EDT!B$36*EDT!F$36)+(EDT!B$37*EDT!F$37)</f>
        <v>0</v>
      </c>
      <c r="F42" s="30">
        <f t="shared" si="7"/>
        <v>0</v>
      </c>
    </row>
    <row r="43" ht="15.75" customHeight="1">
      <c r="A43" s="14" t="s">
        <v>63</v>
      </c>
      <c r="B43" s="27" t="s">
        <v>8</v>
      </c>
      <c r="C43" s="15" t="s">
        <v>16</v>
      </c>
      <c r="D43" s="28">
        <f>$J$8</f>
        <v>6666.666667</v>
      </c>
      <c r="E43" s="29">
        <f>(EDT!B$36*EDT!G$36)+(EDT!B$37*EDT!G$37)</f>
        <v>0</v>
      </c>
      <c r="F43" s="30">
        <f t="shared" si="7"/>
        <v>0</v>
      </c>
    </row>
    <row r="44" ht="15.75" customHeight="1">
      <c r="A44" s="14"/>
      <c r="B44" s="9" t="s">
        <v>84</v>
      </c>
      <c r="C44" s="4"/>
      <c r="D44" s="4"/>
      <c r="E44" s="5"/>
      <c r="F44" s="30">
        <f>SUM(F39:F43)</f>
        <v>248888.8889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H2:K2"/>
    <mergeCell ref="B8:E8"/>
    <mergeCell ref="H11:I11"/>
    <mergeCell ref="B17:E17"/>
    <mergeCell ref="H20:I20"/>
    <mergeCell ref="B26:E26"/>
    <mergeCell ref="B35:E35"/>
    <mergeCell ref="B44:E4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